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egister" sheetId="2" state="visible" r:id="rId2"/>
    <sheet xmlns:r="http://schemas.openxmlformats.org/officeDocument/2006/relationships" name="Pillar_2023_2024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P3_SDG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International_2024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Dashboard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3B4A"/>
      <sz val="11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0F4C5C"/>
      </patternFill>
    </fill>
    <fill>
      <patternFill patternType="solid">
        <fgColor rgb="FFDCEAF2"/>
      </patternFill>
    </fill>
    <fill>
      <patternFill patternType="solid">
        <fgColor rgb="FFEEF4F7"/>
      </patternFill>
    </fill>
    <fill>
      <patternFill patternType="solid">
        <fgColor rgb="FFEAF4FA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1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2" fontId="0" fillId="0" borderId="0" pivotButton="0" quotePrefix="0" xfId="1"/>
    <xf numFmtId="2" fontId="0" fillId="0" borderId="0" applyAlignment="1" pivotButton="0" quotePrefix="0" xfId="1">
      <alignment wrapText="1"/>
    </xf>
    <xf numFmtId="165" fontId="0" fillId="0" borderId="0" pivotButton="0" quotePrefix="0" xfId="1"/>
    <xf numFmtId="0" fontId="2" fillId="5" borderId="0" pivotButton="0" quotePrefix="0" xfId="1"/>
    <xf numFmtId="2" fontId="2" fillId="5" borderId="0" pivotButton="0" quotePrefix="0" xfId="1"/>
    <xf numFmtId="0" fontId="1" fillId="2" borderId="0" applyAlignment="1" pivotButton="0" quotePrefix="0" xfId="1">
      <alignment horizontal="left" vertical="center"/>
    </xf>
    <xf numFmtId="0" fontId="2" fillId="4" borderId="0" pivotButton="0" quotePrefix="0" xfId="1"/>
  </cellXfs>
  <cellStyles count="2">
    <cellStyle name="Обычный" xfId="0" builtinId="0"/>
    <cellStyle name="Normal" xfId="1"/>
  </cellStyles>
  <dxfs count="7">
    <dxf>
      <font>
        <b val="1"/>
        <color rgb="FFA12626"/>
      </font>
      <fill>
        <patternFill patternType="solid">
          <bgColor rgb="FFFDECEC"/>
        </patternFill>
      </fill>
    </dxf>
    <dxf>
      <font>
        <color rgb="FF1B6B3A"/>
      </font>
      <fill>
        <patternFill patternType="solid">
          <bgColor rgb="FFE7F5EC"/>
        </patternFill>
      </fill>
    </dxf>
    <dxf>
      <font>
        <color rgb="FFA12626"/>
      </font>
      <fill>
        <patternFill patternType="solid">
          <bgColor rgb="FFFDECEC"/>
        </patternFill>
      </fill>
    </dxf>
    <dxf>
      <font>
        <color rgb="FF1B6B3A"/>
      </font>
      <fill>
        <patternFill patternType="solid">
          <bgColor rgb="FFE7F5EC"/>
        </patternFill>
      </fill>
    </dxf>
    <dxf>
      <font>
        <color rgb="FFA12626"/>
      </font>
      <fill>
        <patternFill patternType="solid">
          <bgColor rgb="FFFDECEC"/>
        </patternFill>
      </fill>
    </dxf>
    <dxf>
      <font>
        <b val="1"/>
        <color rgb="FFA12626"/>
      </font>
      <fill>
        <patternFill patternType="solid">
          <bgColor rgb="FFFDECEC"/>
        </patternFill>
      </fill>
    </dxf>
    <dxf>
      <font>
        <b val="1"/>
        <color rgb="FF1B6B3A"/>
      </font>
      <fill>
        <patternFill patternType="solid">
          <bgColor rgb="FFE7F5E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2023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Pillar_2023_2024!$A$2:$A$6</f>
              <strCache>
                <ptCount val="5"/>
                <pt idx="0">
                  <v>P1 — Ma'lumotlardan foydalanish</v>
                </pt>
                <pt idx="1">
                  <v>P2 — Ma'lumotlar xizmatlari</v>
                </pt>
                <pt idx="2">
                  <v>P3 — Ma'lumotlar mahsulotlari</v>
                </pt>
                <pt idx="3">
                  <v>P4 — Ma'lumotlar manbalari</v>
                </pt>
                <pt idx="4">
                  <v>P5 — Ma'lumotlar infratuzilmasi</v>
                </pt>
              </strCache>
            </strRef>
          </cat>
          <val>
            <numRef>
              <f>Pillar_2023_2024!$B$2:$B$6</f>
              <numCache>
                <formatCode>0.00</formatCode>
                <ptCount val="5"/>
                <pt idx="0">
                  <v>90</v>
                </pt>
                <pt idx="1">
                  <v>76.6333333</v>
                </pt>
                <pt idx="2">
                  <v>85.04375</v>
                </pt>
                <pt idx="3">
                  <v>63.2833333</v>
                </pt>
                <pt idx="4">
                  <v>95</v>
                </pt>
              </numCache>
            </numRef>
          </val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Pillar_2023_2024!$A$2:$A$6</f>
              <strCache>
                <ptCount val="5"/>
                <pt idx="0">
                  <v>P1 — Ma'lumotlardan foydalanish</v>
                </pt>
                <pt idx="1">
                  <v>P2 — Ma'lumotlar xizmatlari</v>
                </pt>
                <pt idx="2">
                  <v>P3 — Ma'lumotlar mahsulotlari</v>
                </pt>
                <pt idx="3">
                  <v>P4 — Ma'lumotlar manbalari</v>
                </pt>
                <pt idx="4">
                  <v>P5 — Ma'lumotlar infratuzilmasi</v>
                </pt>
              </strCache>
            </strRef>
          </cat>
          <val>
            <numRef>
              <f>Pillar_2023_2024!$C$2:$C$6</f>
              <numCache>
                <formatCode>0.00</formatCode>
                <ptCount val="5"/>
                <pt idx="0">
                  <v>90</v>
                </pt>
                <pt idx="1">
                  <v>79.1333333</v>
                </pt>
                <pt idx="2">
                  <v>80.1125</v>
                </pt>
                <pt idx="3">
                  <v>68.20833330000001</v>
                </pt>
                <pt idx="4">
                  <v>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layout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Umumiy SPI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Scenarios!$A$2:$A$5</f>
              <strCache>
                <ptCount val="4"/>
                <pt idx="0">
                  <v>Bazaviy holat</v>
                </pt>
                <pt idx="1">
                  <v>Ehtiyotkor ssenariy</v>
                </pt>
                <pt idx="2">
                  <v>Asosiy ssenariy</v>
                </pt>
                <pt idx="3">
                  <v>Kengaytirilgan ssenariy</v>
                </pt>
              </strCache>
            </strRef>
          </cat>
          <val>
            <numRef>
              <f>Scenarios!$C$2:$C$5</f>
              <numCache>
                <formatCode>0.00</formatCode>
                <ptCount val="4"/>
                <pt idx="0">
                  <v>81.49083330000001</v>
                </pt>
                <pt idx="1">
                  <v>84.4875</v>
                </pt>
                <pt idx="2">
                  <v>87.8208333</v>
                </pt>
                <pt idx="3">
                  <v>89.8458333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layout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14</col>
      <colOff>0</colOff>
      <row>33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laimsTable" displayName="ClaimsTable" ref="A1:Q68" headerRowCount="1" totalsRowShown="0">
  <tableColumns count="17">
    <tableColumn id="1" name="Claim_ID"/>
    <tableColumn id="2" name="Document_section"/>
    <tableColumn id="3" name="Paragraph"/>
    <tableColumn id="4" name="Table_no"/>
    <tableColumn id="5" name="Row_name"/>
    <tableColumn id="6" name="Year"/>
    <tableColumn id="7" name="Project_value"/>
    <tableColumn id="8" name="WB_file"/>
    <tableColumn id="9" name="WB_variable"/>
    <tableColumn id="10" name="WB_value"/>
    <tableColumn id="11" name="Rounding_rule"/>
    <tableColumn id="12" name="Difference"/>
    <tableColumn id="13" name="Status"/>
    <tableColumn id="14" name="Source_commit"/>
    <tableColumn id="15" name="Source_url"/>
    <tableColumn id="16" name="Note"/>
    <tableColumn id="17" name="Toler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llarTable" displayName="PillarTable" ref="A1:E7" headerRowCount="1" totalsRowShown="0">
  <tableColumns count="5">
    <tableColumn id="1" name="Ustun"/>
    <tableColumn id="2" name="2023"/>
    <tableColumn id="3" name="2024"/>
    <tableColumn id="4" name="O‘zgarish"/>
    <tableColumn id="5" name="Umumiy SPIga hiss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storyTable" displayName="HistoryTable" ref="A1:G8" headerRowCount="1" totalsRowShown="0">
  <tableColumns count="7">
    <tableColumn id="1" name="Yil"/>
    <tableColumn id="2" name="Umumiy SPI"/>
    <tableColumn id="3" name="P1"/>
    <tableColumn id="4" name="P2"/>
    <tableColumn id="5" name="P3"/>
    <tableColumn id="6" name="P4"/>
    <tableColumn id="7" name="P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3Table" displayName="P3Table" ref="A1:F17" headerRowCount="1" totalsRowShown="0">
  <tableColumns count="6">
    <tableColumn id="1" name="SDG"/>
    <tableColumn id="2" name="Nomi"/>
    <tableColumn id="3" name="WB_variable"/>
    <tableColumn id="4" name="2023"/>
    <tableColumn id="5" name="2024"/>
    <tableColumn id="6" name="O‘zgaris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4Table" displayName="P4Table" ref="A1:E5" headerRowCount="1" totalsRowShown="0">
  <tableColumns count="5">
    <tableColumn id="1" name="Komponent"/>
    <tableColumn id="2" name="WB_variable"/>
    <tableColumn id="3" name="2023"/>
    <tableColumn id="4" name="2024"/>
    <tableColumn id="5" name="O‘zgaris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5Table" displayName="P5Table" ref="A1:E11" headerRowCount="1" totalsRowShown="0">
  <tableColumns count="5">
    <tableColumn id="1" name="Indikator"/>
    <tableColumn id="2" name="WB_variable"/>
    <tableColumn id="3" name="2023"/>
    <tableColumn id="4" name="2024"/>
    <tableColumn id="5" name="O‘zgaris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ternationalTable" displayName="InternationalTable" ref="A1:J9" headerRowCount="1" totalsRowShown="0">
  <tableColumns count="10">
    <tableColumn id="1" name="Mamlakat"/>
    <tableColumn id="2" name="ISO3"/>
    <tableColumn id="3" name="SPI"/>
    <tableColumn id="4" name="P1"/>
    <tableColumn id="5" name="P2"/>
    <tableColumn id="6" name="P3"/>
    <tableColumn id="7" name="P4"/>
    <tableColumn id="8" name="P5"/>
    <tableColumn id="9" name="O‘rin"/>
    <tableColumn id="10" name="23→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cenarioTable" displayName="ScenarioTable" ref="A1:C5" headerRowCount="1" totalsRowShown="0">
  <tableColumns count="3">
    <tableColumn id="1" name="Ssenariy"/>
    <tableColumn id="2" name="Shart"/>
    <tableColumn id="3" name="Umumiy S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B6" sqref="B6"/>
    </sheetView>
  </sheetViews>
  <sheetFormatPr baseColWidth="8" defaultRowHeight="14.25"/>
  <cols>
    <col width="24" customWidth="1" min="1" max="1"/>
    <col width="65" customWidth="1" min="2" max="2"/>
  </cols>
  <sheetData>
    <row r="1" ht="20.25" customHeight="1">
      <c r="A1" s="10" t="inlineStr">
        <is>
          <t>Uzbekistan SPI v4.0 — Numerical Claims Register</t>
        </is>
      </c>
    </row>
    <row r="3" ht="15" customHeight="1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Report</t>
        </is>
      </c>
      <c r="B4" s="2" t="inlineStr">
        <is>
          <t>SPI Final Report — 10.09.2026</t>
        </is>
      </c>
    </row>
    <row r="5">
      <c r="A5" s="2" t="inlineStr">
        <is>
          <t>World Bank release</t>
        </is>
      </c>
      <c r="B5" s="2" t="inlineStr">
        <is>
          <t>v4.0 — 202511 SPI Update</t>
        </is>
      </c>
    </row>
    <row r="6">
      <c r="A6" s="2" t="inlineStr">
        <is>
          <t>Pinned commit</t>
        </is>
      </c>
      <c r="B6" s="2" t="inlineStr">
        <is>
          <t>2dd02f746cb4e2159281adc74d6865f948e90ce1</t>
        </is>
      </c>
    </row>
    <row r="7">
      <c r="A7" s="2" t="inlineStr">
        <is>
          <t>Primary file</t>
        </is>
      </c>
      <c r="B7" s="2" t="inlineStr">
        <is>
          <t>03_output_data/SPI_index.csv</t>
        </is>
      </c>
    </row>
    <row r="8" ht="28.5" customHeight="1">
      <c r="A8" s="2" t="inlineStr">
        <is>
          <t>Primary source URL</t>
        </is>
      </c>
      <c r="B8" s="2" t="inlineStr">
        <is>
          <t>https://raw.githubusercontent.com/worldbank/SPI/2dd02f746cb4e2159281adc74d6865f948e90ce1/03_output_data/SPI_index.csv</t>
        </is>
      </c>
    </row>
    <row r="9" ht="28.5" customHeight="1">
      <c r="A9" s="2" t="inlineStr">
        <is>
          <t>Computation code URL</t>
        </is>
      </c>
      <c r="B9" s="2" t="inlineStr">
        <is>
          <t>https://raw.githubusercontent.com/worldbank/SPI/2dd02f746cb4e2159281adc74d6865f948e90ce1/02_programs/02-SPI_index.Rmd</t>
        </is>
      </c>
    </row>
    <row r="10" ht="28.5" customHeight="1">
      <c r="A10" s="2" t="inlineStr">
        <is>
          <t>Register purpose</t>
        </is>
      </c>
      <c r="B10" s="2" t="inlineStr">
        <is>
          <t>Linking key numerical claims in the Word report to the source data and independent recalculation</t>
        </is>
      </c>
    </row>
    <row r="11" ht="28.5" customHeight="1">
      <c r="A11" s="2" t="inlineStr">
        <is>
          <t>Status interpretation</t>
        </is>
      </c>
      <c r="B11" s="2" t="inlineStr">
        <is>
          <t>PASS = project value matches the source/recalculation at the stated precision; CHECK = requires review</t>
        </is>
      </c>
    </row>
    <row r="13" ht="15" customHeight="1">
      <c r="A13" s="11" t="inlineStr">
        <is>
          <t>How to use this register</t>
        </is>
      </c>
    </row>
    <row r="14">
      <c r="A14" s="2" t="inlineStr">
        <is>
          <t>1</t>
        </is>
      </c>
      <c r="B14" s="2" t="inlineStr">
        <is>
          <t>Locate the claim in the Word report using Claim_ID.</t>
        </is>
      </c>
      <c r="C14" s="2" t="n"/>
      <c r="D14" s="2" t="n"/>
      <c r="E14" s="2" t="n"/>
      <c r="F14" s="2" t="n"/>
    </row>
    <row r="15">
      <c r="A15" s="2" t="inlineStr">
        <is>
          <t>2</t>
        </is>
      </c>
      <c r="B15" s="2" t="inlineStr">
        <is>
          <t>Identify the field in the pinned source using WB_file and WB_variable.</t>
        </is>
      </c>
      <c r="C15" s="2" t="n"/>
      <c r="D15" s="2" t="n"/>
      <c r="E15" s="2" t="n"/>
      <c r="F15" s="2" t="n"/>
    </row>
    <row r="16" ht="28.5" customHeight="1">
      <c r="A16" s="2" t="inlineStr">
        <is>
          <t>3</t>
        </is>
      </c>
      <c r="B16" s="2" t="inlineStr">
        <is>
          <t>The Difference and Status formulas compare the project value with the source/recalculated value.</t>
        </is>
      </c>
      <c r="C16" s="2" t="n"/>
      <c r="D16" s="2" t="n"/>
      <c r="E16" s="2" t="n"/>
      <c r="F16" s="2" t="n"/>
    </row>
    <row r="17" ht="28.5" customHeight="1">
      <c r="A17" s="2" t="inlineStr">
        <is>
          <t>4</t>
        </is>
      </c>
      <c r="B17" s="2" t="inlineStr">
        <is>
          <t>Conditional scenarios are not an official forecast; they are based on the SPI aggregation formula.</t>
        </is>
      </c>
      <c r="C17" s="2" t="n"/>
      <c r="D17" s="2" t="n"/>
      <c r="E17" s="2" t="n"/>
      <c r="F17" s="2" t="n"/>
    </row>
  </sheetData>
  <mergeCells count="2">
    <mergeCell ref="A13:F1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topLeftCell="H1" workbookViewId="0">
      <selection activeCell="A1" sqref="A1"/>
    </sheetView>
  </sheetViews>
  <sheetFormatPr baseColWidth="8" defaultRowHeight="14.25"/>
  <cols>
    <col width="10" customWidth="1" min="1" max="1"/>
    <col width="19" customWidth="1" min="2" max="2"/>
    <col width="24" customWidth="1" min="3" max="3"/>
    <col width="12" customWidth="1" min="4" max="4"/>
    <col width="34" customWidth="1" min="5" max="5"/>
    <col width="9" customWidth="1" min="6" max="6"/>
    <col width="14" customWidth="1" min="7" max="7"/>
    <col width="28" customWidth="1" min="8" max="8"/>
    <col width="30" customWidth="1" min="9" max="9"/>
    <col width="14" customWidth="1" min="10" max="10"/>
    <col width="13" customWidth="1" min="11" max="12"/>
    <col width="10" customWidth="1" min="13" max="13"/>
    <col width="22" customWidth="1" min="14" max="14"/>
    <col width="48" customWidth="1" min="15" max="15"/>
    <col width="42" customWidth="1" min="16" max="16"/>
    <col width="11" customWidth="1" min="17" max="17"/>
  </cols>
  <sheetData>
    <row r="1" ht="30" customHeight="1">
      <c r="A1" s="1" t="inlineStr">
        <is>
          <t>Claim_ID</t>
        </is>
      </c>
      <c r="B1" s="1" t="inlineStr">
        <is>
          <t>Document_section</t>
        </is>
      </c>
      <c r="C1" s="1" t="inlineStr">
        <is>
          <t>Paragraph</t>
        </is>
      </c>
      <c r="D1" s="1" t="inlineStr">
        <is>
          <t>Table_no</t>
        </is>
      </c>
      <c r="E1" s="1" t="inlineStr">
        <is>
          <t>Row_name</t>
        </is>
      </c>
      <c r="F1" s="1" t="inlineStr">
        <is>
          <t>Year</t>
        </is>
      </c>
      <c r="G1" s="1" t="inlineStr">
        <is>
          <t>Project_value</t>
        </is>
      </c>
      <c r="H1" s="1" t="inlineStr">
        <is>
          <t>WB_file</t>
        </is>
      </c>
      <c r="I1" s="1" t="inlineStr">
        <is>
          <t>WB_variable</t>
        </is>
      </c>
      <c r="J1" s="1" t="inlineStr">
        <is>
          <t>WB_value</t>
        </is>
      </c>
      <c r="K1" s="1" t="inlineStr">
        <is>
          <t>Rounding_rule</t>
        </is>
      </c>
      <c r="L1" s="1" t="inlineStr">
        <is>
          <t>Difference</t>
        </is>
      </c>
      <c r="M1" s="1" t="inlineStr">
        <is>
          <t>Status</t>
        </is>
      </c>
      <c r="N1" s="1" t="inlineStr">
        <is>
          <t>Source_commit</t>
        </is>
      </c>
      <c r="O1" s="1" t="inlineStr">
        <is>
          <t>Source_url</t>
        </is>
      </c>
      <c r="P1" s="1" t="inlineStr">
        <is>
          <t>Note</t>
        </is>
      </c>
      <c r="Q1" s="1" t="inlineStr">
        <is>
          <t>Tolerance</t>
        </is>
      </c>
    </row>
    <row r="2" ht="43.5" customHeight="1">
      <c r="A2" s="2" t="inlineStr">
        <is>
          <t>C001</t>
        </is>
      </c>
      <c r="B2" s="2" t="inlineStr">
        <is>
          <t>Foreword / Chapter 2</t>
        </is>
      </c>
      <c r="C2" s="2" t="inlineStr">
        <is>
          <t>Headline 2023 value</t>
        </is>
      </c>
      <c r="D2" s="2" t="inlineStr">
        <is>
          <t>Table 4</t>
        </is>
      </c>
      <c r="E2" s="2" t="inlineStr">
        <is>
          <t>P1 — Data Use</t>
        </is>
      </c>
      <c r="F2" s="3" t="n">
        <v>2023</v>
      </c>
      <c r="G2" s="4" t="n">
        <v>90</v>
      </c>
      <c r="H2" s="2" t="inlineStr">
        <is>
          <t>03_output_data/SPI_index.csv</t>
        </is>
      </c>
      <c r="I2" s="2" t="inlineStr">
        <is>
          <t>SPI.INDEX.PIL1</t>
        </is>
      </c>
      <c r="J2" s="4" t="n">
        <v>90</v>
      </c>
      <c r="K2" s="2" t="inlineStr">
        <is>
          <t>2 decimals</t>
        </is>
      </c>
      <c r="L2" s="4">
        <f>IF(OR(G2="",J2=""),"",G2-J2)</f>
        <v/>
      </c>
      <c r="M2" s="2">
        <f>IF(AND(ISNUMBER(G2),ISNUMBER(J2)),IF(ABS(G2-J2)&lt;=Q2,"PASS","CHECK"),"N/A")</f>
        <v/>
      </c>
      <c r="N2" s="2" t="inlineStr">
        <is>
          <t>2dd02f746cb4e2159281adc74d6865f948e90ce1</t>
        </is>
      </c>
      <c r="O2" s="2" t="inlineStr">
        <is>
          <t>https://raw.githubusercontent.com/worldbank/SPI/2dd02f746cb4e2159281adc74d6865f948e90ce1/03_output_data/SPI_index.csv</t>
        </is>
      </c>
      <c r="P2" s="2" t="n"/>
      <c r="Q2" s="4" t="n">
        <v>0.005</v>
      </c>
    </row>
    <row r="3" ht="43.5" customHeight="1">
      <c r="A3" s="2" t="inlineStr">
        <is>
          <t>C002</t>
        </is>
      </c>
      <c r="B3" s="2" t="inlineStr">
        <is>
          <t>Foreword / Chapter 2</t>
        </is>
      </c>
      <c r="C3" s="2" t="inlineStr">
        <is>
          <t>Headline 2024 value</t>
        </is>
      </c>
      <c r="D3" s="2" t="inlineStr">
        <is>
          <t>Table 4</t>
        </is>
      </c>
      <c r="E3" s="2" t="inlineStr">
        <is>
          <t>P1 — Data Use</t>
        </is>
      </c>
      <c r="F3" s="3" t="n">
        <v>2024</v>
      </c>
      <c r="G3" s="4" t="n">
        <v>90</v>
      </c>
      <c r="H3" s="2" t="inlineStr">
        <is>
          <t>03_output_data/SPI_index.csv</t>
        </is>
      </c>
      <c r="I3" s="2" t="inlineStr">
        <is>
          <t>SPI.INDEX.PIL1</t>
        </is>
      </c>
      <c r="J3" s="4" t="n">
        <v>90</v>
      </c>
      <c r="K3" s="2" t="inlineStr">
        <is>
          <t>2 decimals</t>
        </is>
      </c>
      <c r="L3" s="4">
        <f>IF(OR(G3="",J3=""),"",G3-J3)</f>
        <v/>
      </c>
      <c r="M3" s="2">
        <f>IF(AND(ISNUMBER(G3),ISNUMBER(J3)),IF(ABS(G3-J3)&lt;=Q3,"PASS","CHECK"),"N/A")</f>
        <v/>
      </c>
      <c r="N3" s="2" t="inlineStr">
        <is>
          <t>2dd02f746cb4e2159281adc74d6865f948e90ce1</t>
        </is>
      </c>
      <c r="O3" s="2" t="inlineStr">
        <is>
          <t>https://raw.githubusercontent.com/worldbank/SPI/2dd02f746cb4e2159281adc74d6865f948e90ce1/03_output_data/SPI_index.csv</t>
        </is>
      </c>
      <c r="P3" s="2" t="n"/>
      <c r="Q3" s="4" t="n">
        <v>0.005</v>
      </c>
    </row>
    <row r="4" ht="43.5" customHeight="1">
      <c r="A4" s="2" t="inlineStr">
        <is>
          <t>C003</t>
        </is>
      </c>
      <c r="B4" s="2" t="inlineStr">
        <is>
          <t>Foreword / Chapter 2</t>
        </is>
      </c>
      <c r="C4" s="2" t="inlineStr">
        <is>
          <t>Headline 2023 value</t>
        </is>
      </c>
      <c r="D4" s="2" t="inlineStr">
        <is>
          <t>Table 4</t>
        </is>
      </c>
      <c r="E4" s="2" t="inlineStr">
        <is>
          <t>P2 — Data Services</t>
        </is>
      </c>
      <c r="F4" s="3" t="n">
        <v>2023</v>
      </c>
      <c r="G4" s="4" t="n">
        <v>76.63</v>
      </c>
      <c r="H4" s="2" t="inlineStr">
        <is>
          <t>03_output_data/SPI_index.csv</t>
        </is>
      </c>
      <c r="I4" s="2" t="inlineStr">
        <is>
          <t>SPI.INDEX.PIL2</t>
        </is>
      </c>
      <c r="J4" s="4" t="n">
        <v>76.6333333</v>
      </c>
      <c r="K4" s="2" t="inlineStr">
        <is>
          <t>2 decimals</t>
        </is>
      </c>
      <c r="L4" s="4">
        <f>IF(OR(G4="",J4=""),"",G4-J4)</f>
        <v/>
      </c>
      <c r="M4" s="2">
        <f>IF(AND(ISNUMBER(G4),ISNUMBER(J4)),IF(ABS(G4-J4)&lt;=Q4,"PASS","CHECK"),"N/A")</f>
        <v/>
      </c>
      <c r="N4" s="2" t="inlineStr">
        <is>
          <t>2dd02f746cb4e2159281adc74d6865f948e90ce1</t>
        </is>
      </c>
      <c r="O4" s="2" t="inlineStr">
        <is>
          <t>https://raw.githubusercontent.com/worldbank/SPI/2dd02f746cb4e2159281adc74d6865f948e90ce1/03_output_data/SPI_index.csv</t>
        </is>
      </c>
      <c r="P4" s="2" t="n"/>
      <c r="Q4" s="4" t="n">
        <v>0.005</v>
      </c>
    </row>
    <row r="5" ht="43.5" customHeight="1">
      <c r="A5" s="2" t="inlineStr">
        <is>
          <t>C004</t>
        </is>
      </c>
      <c r="B5" s="2" t="inlineStr">
        <is>
          <t>Foreword / Chapter 2</t>
        </is>
      </c>
      <c r="C5" s="2" t="inlineStr">
        <is>
          <t>Headline 2024 value</t>
        </is>
      </c>
      <c r="D5" s="2" t="inlineStr">
        <is>
          <t>Table 4</t>
        </is>
      </c>
      <c r="E5" s="2" t="inlineStr">
        <is>
          <t>P2 — Data Services</t>
        </is>
      </c>
      <c r="F5" s="3" t="n">
        <v>2024</v>
      </c>
      <c r="G5" s="4" t="n">
        <v>79.13</v>
      </c>
      <c r="H5" s="2" t="inlineStr">
        <is>
          <t>03_output_data/SPI_index.csv</t>
        </is>
      </c>
      <c r="I5" s="2" t="inlineStr">
        <is>
          <t>SPI.INDEX.PIL2</t>
        </is>
      </c>
      <c r="J5" s="4" t="n">
        <v>79.1333333</v>
      </c>
      <c r="K5" s="2" t="inlineStr">
        <is>
          <t>2 decimals</t>
        </is>
      </c>
      <c r="L5" s="4">
        <f>IF(OR(G5="",J5=""),"",G5-J5)</f>
        <v/>
      </c>
      <c r="M5" s="2">
        <f>IF(AND(ISNUMBER(G5),ISNUMBER(J5)),IF(ABS(G5-J5)&lt;=Q5,"PASS","CHECK"),"N/A")</f>
        <v/>
      </c>
      <c r="N5" s="2" t="inlineStr">
        <is>
          <t>2dd02f746cb4e2159281adc74d6865f948e90ce1</t>
        </is>
      </c>
      <c r="O5" s="2" t="inlineStr">
        <is>
          <t>https://raw.githubusercontent.com/worldbank/SPI/2dd02f746cb4e2159281adc74d6865f948e90ce1/03_output_data/SPI_index.csv</t>
        </is>
      </c>
      <c r="P5" s="2" t="n"/>
      <c r="Q5" s="4" t="n">
        <v>0.005</v>
      </c>
    </row>
    <row r="6" ht="43.5" customHeight="1">
      <c r="A6" s="2" t="inlineStr">
        <is>
          <t>C005</t>
        </is>
      </c>
      <c r="B6" s="2" t="inlineStr">
        <is>
          <t>Foreword / Chapter 2</t>
        </is>
      </c>
      <c r="C6" s="2" t="inlineStr">
        <is>
          <t>Headline 2023 value</t>
        </is>
      </c>
      <c r="D6" s="2" t="inlineStr">
        <is>
          <t>Table 4</t>
        </is>
      </c>
      <c r="E6" s="2" t="inlineStr">
        <is>
          <t>P3 — Data Products</t>
        </is>
      </c>
      <c r="F6" s="3" t="n">
        <v>2023</v>
      </c>
      <c r="G6" s="4" t="n">
        <v>85.04000000000001</v>
      </c>
      <c r="H6" s="2" t="inlineStr">
        <is>
          <t>03_output_data/SPI_index.csv</t>
        </is>
      </c>
      <c r="I6" s="2" t="inlineStr">
        <is>
          <t>SPI.INDEX.PIL3</t>
        </is>
      </c>
      <c r="J6" s="4" t="n">
        <v>85.04375</v>
      </c>
      <c r="K6" s="2" t="inlineStr">
        <is>
          <t>2 decimals</t>
        </is>
      </c>
      <c r="L6" s="4">
        <f>IF(OR(G6="",J6=""),"",G6-J6)</f>
        <v/>
      </c>
      <c r="M6" s="2">
        <f>IF(AND(ISNUMBER(G6),ISNUMBER(J6)),IF(ABS(G6-J6)&lt;=Q6,"PASS","CHECK"),"N/A")</f>
        <v/>
      </c>
      <c r="N6" s="2" t="inlineStr">
        <is>
          <t>2dd02f746cb4e2159281adc74d6865f948e90ce1</t>
        </is>
      </c>
      <c r="O6" s="2" t="inlineStr">
        <is>
          <t>https://raw.githubusercontent.com/worldbank/SPI/2dd02f746cb4e2159281adc74d6865f948e90ce1/03_output_data/SPI_index.csv</t>
        </is>
      </c>
      <c r="P6" s="2" t="n"/>
      <c r="Q6" s="4" t="n">
        <v>0.005</v>
      </c>
    </row>
    <row r="7" ht="43.5" customHeight="1">
      <c r="A7" s="2" t="inlineStr">
        <is>
          <t>C006</t>
        </is>
      </c>
      <c r="B7" s="2" t="inlineStr">
        <is>
          <t>Foreword / Chapter 2</t>
        </is>
      </c>
      <c r="C7" s="2" t="inlineStr">
        <is>
          <t>Headline 2024 value</t>
        </is>
      </c>
      <c r="D7" s="2" t="inlineStr">
        <is>
          <t>Table 4</t>
        </is>
      </c>
      <c r="E7" s="2" t="inlineStr">
        <is>
          <t>P3 — Data Products</t>
        </is>
      </c>
      <c r="F7" s="3" t="n">
        <v>2024</v>
      </c>
      <c r="G7" s="4" t="n">
        <v>80.11</v>
      </c>
      <c r="H7" s="2" t="inlineStr">
        <is>
          <t>03_output_data/SPI_index.csv</t>
        </is>
      </c>
      <c r="I7" s="2" t="inlineStr">
        <is>
          <t>SPI.INDEX.PIL3</t>
        </is>
      </c>
      <c r="J7" s="4" t="n">
        <v>80.1125</v>
      </c>
      <c r="K7" s="2" t="inlineStr">
        <is>
          <t>2 decimals</t>
        </is>
      </c>
      <c r="L7" s="4">
        <f>IF(OR(G7="",J7=""),"",G7-J7)</f>
        <v/>
      </c>
      <c r="M7" s="2">
        <f>IF(AND(ISNUMBER(G7),ISNUMBER(J7)),IF(ABS(G7-J7)&lt;=Q7,"PASS","CHECK"),"N/A")</f>
        <v/>
      </c>
      <c r="N7" s="2" t="inlineStr">
        <is>
          <t>2dd02f746cb4e2159281adc74d6865f948e90ce1</t>
        </is>
      </c>
      <c r="O7" s="2" t="inlineStr">
        <is>
          <t>https://raw.githubusercontent.com/worldbank/SPI/2dd02f746cb4e2159281adc74d6865f948e90ce1/03_output_data/SPI_index.csv</t>
        </is>
      </c>
      <c r="P7" s="2" t="n"/>
      <c r="Q7" s="4" t="n">
        <v>0.005</v>
      </c>
    </row>
    <row r="8" ht="43.5" customHeight="1">
      <c r="A8" s="2" t="inlineStr">
        <is>
          <t>C007</t>
        </is>
      </c>
      <c r="B8" s="2" t="inlineStr">
        <is>
          <t>Foreword / Chapter 2</t>
        </is>
      </c>
      <c r="C8" s="2" t="inlineStr">
        <is>
          <t>Headline 2023 value</t>
        </is>
      </c>
      <c r="D8" s="2" t="inlineStr">
        <is>
          <t>Table 4</t>
        </is>
      </c>
      <c r="E8" s="2" t="inlineStr">
        <is>
          <t>P4 — Data Sources</t>
        </is>
      </c>
      <c r="F8" s="3" t="n">
        <v>2023</v>
      </c>
      <c r="G8" s="4" t="n">
        <v>63.28</v>
      </c>
      <c r="H8" s="2" t="inlineStr">
        <is>
          <t>03_output_data/SPI_index.csv</t>
        </is>
      </c>
      <c r="I8" s="2" t="inlineStr">
        <is>
          <t>SPI.INDEX.PIL4</t>
        </is>
      </c>
      <c r="J8" s="4" t="n">
        <v>63.2833333</v>
      </c>
      <c r="K8" s="2" t="inlineStr">
        <is>
          <t>2 decimals</t>
        </is>
      </c>
      <c r="L8" s="4">
        <f>IF(OR(G8="",J8=""),"",G8-J8)</f>
        <v/>
      </c>
      <c r="M8" s="2">
        <f>IF(AND(ISNUMBER(G8),ISNUMBER(J8)),IF(ABS(G8-J8)&lt;=Q8,"PASS","CHECK"),"N/A")</f>
        <v/>
      </c>
      <c r="N8" s="2" t="inlineStr">
        <is>
          <t>2dd02f746cb4e2159281adc74d6865f948e90ce1</t>
        </is>
      </c>
      <c r="O8" s="2" t="inlineStr">
        <is>
          <t>https://raw.githubusercontent.com/worldbank/SPI/2dd02f746cb4e2159281adc74d6865f948e90ce1/03_output_data/SPI_index.csv</t>
        </is>
      </c>
      <c r="P8" s="2" t="n"/>
      <c r="Q8" s="4" t="n">
        <v>0.005</v>
      </c>
    </row>
    <row r="9" ht="43.5" customHeight="1">
      <c r="A9" s="2" t="inlineStr">
        <is>
          <t>C008</t>
        </is>
      </c>
      <c r="B9" s="2" t="inlineStr">
        <is>
          <t>Foreword / Chapter 2</t>
        </is>
      </c>
      <c r="C9" s="2" t="inlineStr">
        <is>
          <t>Headline 2024 value</t>
        </is>
      </c>
      <c r="D9" s="2" t="inlineStr">
        <is>
          <t>Table 4</t>
        </is>
      </c>
      <c r="E9" s="2" t="inlineStr">
        <is>
          <t>P4 — Data Sources</t>
        </is>
      </c>
      <c r="F9" s="3" t="n">
        <v>2024</v>
      </c>
      <c r="G9" s="4" t="n">
        <v>68.20999999999999</v>
      </c>
      <c r="H9" s="2" t="inlineStr">
        <is>
          <t>03_output_data/SPI_index.csv</t>
        </is>
      </c>
      <c r="I9" s="2" t="inlineStr">
        <is>
          <t>SPI.INDEX.PIL4</t>
        </is>
      </c>
      <c r="J9" s="4" t="n">
        <v>68.20833330000001</v>
      </c>
      <c r="K9" s="2" t="inlineStr">
        <is>
          <t>2 decimals</t>
        </is>
      </c>
      <c r="L9" s="4">
        <f>IF(OR(G9="",J9=""),"",G9-J9)</f>
        <v/>
      </c>
      <c r="M9" s="2">
        <f>IF(AND(ISNUMBER(G9),ISNUMBER(J9)),IF(ABS(G9-J9)&lt;=Q9,"PASS","CHECK"),"N/A")</f>
        <v/>
      </c>
      <c r="N9" s="2" t="inlineStr">
        <is>
          <t>2dd02f746cb4e2159281adc74d6865f948e90ce1</t>
        </is>
      </c>
      <c r="O9" s="2" t="inlineStr">
        <is>
          <t>https://raw.githubusercontent.com/worldbank/SPI/2dd02f746cb4e2159281adc74d6865f948e90ce1/03_output_data/SPI_index.csv</t>
        </is>
      </c>
      <c r="P9" s="2" t="n"/>
      <c r="Q9" s="4" t="n">
        <v>0.005</v>
      </c>
    </row>
    <row r="10" ht="43.5" customHeight="1">
      <c r="A10" s="2" t="inlineStr">
        <is>
          <t>C009</t>
        </is>
      </c>
      <c r="B10" s="2" t="inlineStr">
        <is>
          <t>Foreword / Chapter 2</t>
        </is>
      </c>
      <c r="C10" s="2" t="inlineStr">
        <is>
          <t>Headline 2023 value</t>
        </is>
      </c>
      <c r="D10" s="2" t="inlineStr">
        <is>
          <t>Table 4</t>
        </is>
      </c>
      <c r="E10" s="2" t="inlineStr">
        <is>
          <t>P5 — Data Infrastructure</t>
        </is>
      </c>
      <c r="F10" s="3" t="n">
        <v>2023</v>
      </c>
      <c r="G10" s="4" t="n">
        <v>95</v>
      </c>
      <c r="H10" s="2" t="inlineStr">
        <is>
          <t>03_output_data/SPI_index.csv</t>
        </is>
      </c>
      <c r="I10" s="2" t="inlineStr">
        <is>
          <t>SPI.INDEX.PIL5</t>
        </is>
      </c>
      <c r="J10" s="4" t="n">
        <v>95</v>
      </c>
      <c r="K10" s="2" t="inlineStr">
        <is>
          <t>2 decimals</t>
        </is>
      </c>
      <c r="L10" s="4">
        <f>IF(OR(G10="",J10=""),"",G10-J10)</f>
        <v/>
      </c>
      <c r="M10" s="2">
        <f>IF(AND(ISNUMBER(G10),ISNUMBER(J10)),IF(ABS(G10-J10)&lt;=Q10,"PASS","CHECK"),"N/A")</f>
        <v/>
      </c>
      <c r="N10" s="2" t="inlineStr">
        <is>
          <t>2dd02f746cb4e2159281adc74d6865f948e90ce1</t>
        </is>
      </c>
      <c r="O10" s="2" t="inlineStr">
        <is>
          <t>https://raw.githubusercontent.com/worldbank/SPI/2dd02f746cb4e2159281adc74d6865f948e90ce1/03_output_data/SPI_index.csv</t>
        </is>
      </c>
      <c r="P10" s="2" t="n"/>
      <c r="Q10" s="4" t="n">
        <v>0.005</v>
      </c>
    </row>
    <row r="11" ht="43.5" customHeight="1">
      <c r="A11" s="2" t="inlineStr">
        <is>
          <t>C010</t>
        </is>
      </c>
      <c r="B11" s="2" t="inlineStr">
        <is>
          <t>Foreword / Chapter 2</t>
        </is>
      </c>
      <c r="C11" s="2" t="inlineStr">
        <is>
          <t>Headline 2024 value</t>
        </is>
      </c>
      <c r="D11" s="2" t="inlineStr">
        <is>
          <t>Table 4</t>
        </is>
      </c>
      <c r="E11" s="2" t="inlineStr">
        <is>
          <t>P5 — Data Infrastructure</t>
        </is>
      </c>
      <c r="F11" s="3" t="n">
        <v>2024</v>
      </c>
      <c r="G11" s="4" t="n">
        <v>90</v>
      </c>
      <c r="H11" s="2" t="inlineStr">
        <is>
          <t>03_output_data/SPI_index.csv</t>
        </is>
      </c>
      <c r="I11" s="2" t="inlineStr">
        <is>
          <t>SPI.INDEX.PIL5</t>
        </is>
      </c>
      <c r="J11" s="4" t="n">
        <v>90</v>
      </c>
      <c r="K11" s="2" t="inlineStr">
        <is>
          <t>2 decimals</t>
        </is>
      </c>
      <c r="L11" s="4">
        <f>IF(OR(G11="",J11=""),"",G11-J11)</f>
        <v/>
      </c>
      <c r="M11" s="2">
        <f>IF(AND(ISNUMBER(G11),ISNUMBER(J11)),IF(ABS(G11-J11)&lt;=Q11,"PASS","CHECK"),"N/A")</f>
        <v/>
      </c>
      <c r="N11" s="2" t="inlineStr">
        <is>
          <t>2dd02f746cb4e2159281adc74d6865f948e90ce1</t>
        </is>
      </c>
      <c r="O11" s="2" t="inlineStr">
        <is>
          <t>https://raw.githubusercontent.com/worldbank/SPI/2dd02f746cb4e2159281adc74d6865f948e90ce1/03_output_data/SPI_index.csv</t>
        </is>
      </c>
      <c r="P11" s="2" t="n"/>
      <c r="Q11" s="4" t="n">
        <v>0.005</v>
      </c>
    </row>
    <row r="12" ht="43.5" customHeight="1">
      <c r="A12" s="2" t="inlineStr">
        <is>
          <t>C011</t>
        </is>
      </c>
      <c r="B12" s="2" t="inlineStr">
        <is>
          <t>Foreword / Chapter 2</t>
        </is>
      </c>
      <c r="C12" s="2" t="inlineStr">
        <is>
          <t>Headline 2023 value</t>
        </is>
      </c>
      <c r="D12" s="2" t="inlineStr">
        <is>
          <t>Table 4</t>
        </is>
      </c>
      <c r="E12" s="2" t="inlineStr">
        <is>
          <t>Overall SPI</t>
        </is>
      </c>
      <c r="F12" s="3" t="n">
        <v>2023</v>
      </c>
      <c r="G12" s="4" t="n">
        <v>81.98999999999999</v>
      </c>
      <c r="H12" s="2" t="inlineStr">
        <is>
          <t>03_output_data/SPI_index.csv</t>
        </is>
      </c>
      <c r="I12" s="2" t="inlineStr">
        <is>
          <t>SPI.INDEX</t>
        </is>
      </c>
      <c r="J12" s="4" t="n">
        <v>81.9920833</v>
      </c>
      <c r="K12" s="2" t="inlineStr">
        <is>
          <t>2 decimals</t>
        </is>
      </c>
      <c r="L12" s="4">
        <f>IF(OR(G12="",J12=""),"",G12-J12)</f>
        <v/>
      </c>
      <c r="M12" s="2">
        <f>IF(AND(ISNUMBER(G12),ISNUMBER(J12)),IF(ABS(G12-J12)&lt;=Q12,"PASS","CHECK"),"N/A")</f>
        <v/>
      </c>
      <c r="N12" s="2" t="inlineStr">
        <is>
          <t>2dd02f746cb4e2159281adc74d6865f948e90ce1</t>
        </is>
      </c>
      <c r="O12" s="2" t="inlineStr">
        <is>
          <t>https://raw.githubusercontent.com/worldbank/SPI/2dd02f746cb4e2159281adc74d6865f948e90ce1/03_output_data/SPI_index.csv</t>
        </is>
      </c>
      <c r="P12" s="2" t="n"/>
      <c r="Q12" s="4" t="n">
        <v>0.005</v>
      </c>
    </row>
    <row r="13" ht="43.5" customHeight="1">
      <c r="A13" s="2" t="inlineStr">
        <is>
          <t>C012</t>
        </is>
      </c>
      <c r="B13" s="2" t="inlineStr">
        <is>
          <t>Foreword / Chapter 2</t>
        </is>
      </c>
      <c r="C13" s="2" t="inlineStr">
        <is>
          <t>Headline 2024 value</t>
        </is>
      </c>
      <c r="D13" s="2" t="inlineStr">
        <is>
          <t>Table 4</t>
        </is>
      </c>
      <c r="E13" s="2" t="inlineStr">
        <is>
          <t>Overall SPI</t>
        </is>
      </c>
      <c r="F13" s="3" t="n">
        <v>2024</v>
      </c>
      <c r="G13" s="4" t="n">
        <v>81.48999999999999</v>
      </c>
      <c r="H13" s="2" t="inlineStr">
        <is>
          <t>03_output_data/SPI_index.csv</t>
        </is>
      </c>
      <c r="I13" s="2" t="inlineStr">
        <is>
          <t>SPI.INDEX</t>
        </is>
      </c>
      <c r="J13" s="4" t="n">
        <v>81.49083330000001</v>
      </c>
      <c r="K13" s="2" t="inlineStr">
        <is>
          <t>2 decimals</t>
        </is>
      </c>
      <c r="L13" s="4">
        <f>IF(OR(G13="",J13=""),"",G13-J13)</f>
        <v/>
      </c>
      <c r="M13" s="2">
        <f>IF(AND(ISNUMBER(G13),ISNUMBER(J13)),IF(ABS(G13-J13)&lt;=Q13,"PASS","CHECK"),"N/A")</f>
        <v/>
      </c>
      <c r="N13" s="2" t="inlineStr">
        <is>
          <t>2dd02f746cb4e2159281adc74d6865f948e90ce1</t>
        </is>
      </c>
      <c r="O13" s="2" t="inlineStr">
        <is>
          <t>https://raw.githubusercontent.com/worldbank/SPI/2dd02f746cb4e2159281adc74d6865f948e90ce1/03_output_data/SPI_index.csv</t>
        </is>
      </c>
      <c r="P13" s="2" t="n"/>
      <c r="Q13" s="4" t="n">
        <v>0.005</v>
      </c>
    </row>
    <row r="14" ht="43.5" customHeight="1">
      <c r="A14" s="2" t="inlineStr">
        <is>
          <t>C013</t>
        </is>
      </c>
      <c r="B14" s="2" t="inlineStr">
        <is>
          <t>2.1</t>
        </is>
      </c>
      <c r="C14" s="2" t="inlineStr">
        <is>
          <t>2016-2024 trend</t>
        </is>
      </c>
      <c r="D14" s="2" t="inlineStr">
        <is>
          <t>Table 4</t>
        </is>
      </c>
      <c r="E14" s="2" t="inlineStr">
        <is>
          <t>Overall SPI</t>
        </is>
      </c>
      <c r="F14" s="3" t="n">
        <v>2016</v>
      </c>
      <c r="G14" s="4" t="n">
        <v>37.7</v>
      </c>
      <c r="H14" s="2" t="inlineStr">
        <is>
          <t>03_output_data/SPI_index.csv</t>
        </is>
      </c>
      <c r="I14" s="2" t="inlineStr">
        <is>
          <t>SPI.INDEX</t>
        </is>
      </c>
      <c r="J14" s="4" t="n">
        <v>37.7</v>
      </c>
      <c r="K14" s="2" t="inlineStr">
        <is>
          <t>1 decimal</t>
        </is>
      </c>
      <c r="L14" s="4">
        <f>IF(OR(G14="",J14=""),"",G14-J14)</f>
        <v/>
      </c>
      <c r="M14" s="2">
        <f>IF(AND(ISNUMBER(G14),ISNUMBER(J14)),IF(ABS(G14-J14)&lt;=Q14,"PASS","CHECK"),"N/A")</f>
        <v/>
      </c>
      <c r="N14" s="2" t="inlineStr">
        <is>
          <t>2dd02f746cb4e2159281adc74d6865f948e90ce1</t>
        </is>
      </c>
      <c r="O14" s="2" t="inlineStr">
        <is>
          <t>https://raw.githubusercontent.com/worldbank/SPI/2dd02f746cb4e2159281adc74d6865f948e90ce1/03_output_data/SPI_index.csv</t>
        </is>
      </c>
      <c r="P14" s="2" t="n"/>
      <c r="Q14" s="4" t="n">
        <v>0.05</v>
      </c>
    </row>
    <row r="15" ht="43.5" customHeight="1">
      <c r="A15" s="2" t="inlineStr">
        <is>
          <t>C014</t>
        </is>
      </c>
      <c r="B15" s="2" t="inlineStr">
        <is>
          <t>2.1</t>
        </is>
      </c>
      <c r="C15" s="2" t="inlineStr">
        <is>
          <t>2016-2024 trend</t>
        </is>
      </c>
      <c r="D15" s="2" t="inlineStr">
        <is>
          <t>Table 4</t>
        </is>
      </c>
      <c r="E15" s="2" t="inlineStr">
        <is>
          <t>Overall SPI</t>
        </is>
      </c>
      <c r="F15" s="3" t="n">
        <v>2018</v>
      </c>
      <c r="G15" s="4" t="n">
        <v>50.5</v>
      </c>
      <c r="H15" s="2" t="inlineStr">
        <is>
          <t>03_output_data/SPI_index.csv</t>
        </is>
      </c>
      <c r="I15" s="2" t="inlineStr">
        <is>
          <t>SPI.INDEX</t>
        </is>
      </c>
      <c r="J15" s="4" t="n">
        <v>50.5</v>
      </c>
      <c r="K15" s="2" t="inlineStr">
        <is>
          <t>1 decimal</t>
        </is>
      </c>
      <c r="L15" s="4">
        <f>IF(OR(G15="",J15=""),"",G15-J15)</f>
        <v/>
      </c>
      <c r="M15" s="2">
        <f>IF(AND(ISNUMBER(G15),ISNUMBER(J15)),IF(ABS(G15-J15)&lt;=Q15,"PASS","CHECK"),"N/A")</f>
        <v/>
      </c>
      <c r="N15" s="2" t="inlineStr">
        <is>
          <t>2dd02f746cb4e2159281adc74d6865f948e90ce1</t>
        </is>
      </c>
      <c r="O15" s="2" t="inlineStr">
        <is>
          <t>https://raw.githubusercontent.com/worldbank/SPI/2dd02f746cb4e2159281adc74d6865f948e90ce1/03_output_data/SPI_index.csv</t>
        </is>
      </c>
      <c r="P15" s="2" t="n"/>
      <c r="Q15" s="4" t="n">
        <v>0.05</v>
      </c>
    </row>
    <row r="16" ht="43.5" customHeight="1">
      <c r="A16" s="2" t="inlineStr">
        <is>
          <t>C015</t>
        </is>
      </c>
      <c r="B16" s="2" t="inlineStr">
        <is>
          <t>2.1</t>
        </is>
      </c>
      <c r="C16" s="2" t="inlineStr">
        <is>
          <t>2016-2024 trend</t>
        </is>
      </c>
      <c r="D16" s="2" t="inlineStr">
        <is>
          <t>Table 4</t>
        </is>
      </c>
      <c r="E16" s="2" t="inlineStr">
        <is>
          <t>Overall SPI</t>
        </is>
      </c>
      <c r="F16" s="3" t="n">
        <v>2020</v>
      </c>
      <c r="G16" s="4" t="n">
        <v>67.8</v>
      </c>
      <c r="H16" s="2" t="inlineStr">
        <is>
          <t>03_output_data/SPI_index.csv</t>
        </is>
      </c>
      <c r="I16" s="2" t="inlineStr">
        <is>
          <t>SPI.INDEX</t>
        </is>
      </c>
      <c r="J16" s="4" t="n">
        <v>67.8</v>
      </c>
      <c r="K16" s="2" t="inlineStr">
        <is>
          <t>1 decimal</t>
        </is>
      </c>
      <c r="L16" s="4">
        <f>IF(OR(G16="",J16=""),"",G16-J16)</f>
        <v/>
      </c>
      <c r="M16" s="2">
        <f>IF(AND(ISNUMBER(G16),ISNUMBER(J16)),IF(ABS(G16-J16)&lt;=Q16,"PASS","CHECK"),"N/A")</f>
        <v/>
      </c>
      <c r="N16" s="2" t="inlineStr">
        <is>
          <t>2dd02f746cb4e2159281adc74d6865f948e90ce1</t>
        </is>
      </c>
      <c r="O16" s="2" t="inlineStr">
        <is>
          <t>https://raw.githubusercontent.com/worldbank/SPI/2dd02f746cb4e2159281adc74d6865f948e90ce1/03_output_data/SPI_index.csv</t>
        </is>
      </c>
      <c r="P16" s="2" t="n"/>
      <c r="Q16" s="4" t="n">
        <v>0.05</v>
      </c>
    </row>
    <row r="17" ht="43.5" customHeight="1">
      <c r="A17" s="2" t="inlineStr">
        <is>
          <t>C016</t>
        </is>
      </c>
      <c r="B17" s="2" t="inlineStr">
        <is>
          <t>2.1</t>
        </is>
      </c>
      <c r="C17" s="2" t="inlineStr">
        <is>
          <t>2016-2024 trend</t>
        </is>
      </c>
      <c r="D17" s="2" t="inlineStr">
        <is>
          <t>Table 4</t>
        </is>
      </c>
      <c r="E17" s="2" t="inlineStr">
        <is>
          <t>Overall SPI</t>
        </is>
      </c>
      <c r="F17" s="3" t="n">
        <v>2021</v>
      </c>
      <c r="G17" s="4" t="n">
        <v>71.09999999999999</v>
      </c>
      <c r="H17" s="2" t="inlineStr">
        <is>
          <t>03_output_data/SPI_index.csv</t>
        </is>
      </c>
      <c r="I17" s="2" t="inlineStr">
        <is>
          <t>SPI.INDEX</t>
        </is>
      </c>
      <c r="J17" s="4" t="n">
        <v>71.09999999999999</v>
      </c>
      <c r="K17" s="2" t="inlineStr">
        <is>
          <t>1 decimal</t>
        </is>
      </c>
      <c r="L17" s="4">
        <f>IF(OR(G17="",J17=""),"",G17-J17)</f>
        <v/>
      </c>
      <c r="M17" s="2">
        <f>IF(AND(ISNUMBER(G17),ISNUMBER(J17)),IF(ABS(G17-J17)&lt;=Q17,"PASS","CHECK"),"N/A")</f>
        <v/>
      </c>
      <c r="N17" s="2" t="inlineStr">
        <is>
          <t>2dd02f746cb4e2159281adc74d6865f948e90ce1</t>
        </is>
      </c>
      <c r="O17" s="2" t="inlineStr">
        <is>
          <t>https://raw.githubusercontent.com/worldbank/SPI/2dd02f746cb4e2159281adc74d6865f948e90ce1/03_output_data/SPI_index.csv</t>
        </is>
      </c>
      <c r="P17" s="2" t="n"/>
      <c r="Q17" s="4" t="n">
        <v>0.05</v>
      </c>
    </row>
    <row r="18" ht="43.5" customHeight="1">
      <c r="A18" s="2" t="inlineStr">
        <is>
          <t>C017</t>
        </is>
      </c>
      <c r="B18" s="2" t="inlineStr">
        <is>
          <t>2.1</t>
        </is>
      </c>
      <c r="C18" s="2" t="inlineStr">
        <is>
          <t>2016-2024 trend</t>
        </is>
      </c>
      <c r="D18" s="2" t="inlineStr">
        <is>
          <t>Table 4</t>
        </is>
      </c>
      <c r="E18" s="2" t="inlineStr">
        <is>
          <t>Overall SPI</t>
        </is>
      </c>
      <c r="F18" s="3" t="n">
        <v>2022</v>
      </c>
      <c r="G18" s="4" t="n">
        <v>75.8</v>
      </c>
      <c r="H18" s="2" t="inlineStr">
        <is>
          <t>03_output_data/SPI_index.csv</t>
        </is>
      </c>
      <c r="I18" s="2" t="inlineStr">
        <is>
          <t>SPI.INDEX</t>
        </is>
      </c>
      <c r="J18" s="4" t="n">
        <v>75.8</v>
      </c>
      <c r="K18" s="2" t="inlineStr">
        <is>
          <t>1 decimal</t>
        </is>
      </c>
      <c r="L18" s="4">
        <f>IF(OR(G18="",J18=""),"",G18-J18)</f>
        <v/>
      </c>
      <c r="M18" s="2">
        <f>IF(AND(ISNUMBER(G18),ISNUMBER(J18)),IF(ABS(G18-J18)&lt;=Q18,"PASS","CHECK"),"N/A")</f>
        <v/>
      </c>
      <c r="N18" s="2" t="inlineStr">
        <is>
          <t>2dd02f746cb4e2159281adc74d6865f948e90ce1</t>
        </is>
      </c>
      <c r="O18" s="2" t="inlineStr">
        <is>
          <t>https://raw.githubusercontent.com/worldbank/SPI/2dd02f746cb4e2159281adc74d6865f948e90ce1/03_output_data/SPI_index.csv</t>
        </is>
      </c>
      <c r="P18" s="2" t="n"/>
      <c r="Q18" s="4" t="n">
        <v>0.05</v>
      </c>
    </row>
    <row r="19" ht="43.5" customHeight="1">
      <c r="A19" s="2" t="inlineStr">
        <is>
          <t>C018</t>
        </is>
      </c>
      <c r="B19" s="2" t="inlineStr">
        <is>
          <t>2.2.3 / Chapter 9</t>
        </is>
      </c>
      <c r="C19" s="2" t="inlineStr">
        <is>
          <t>SDG goal value</t>
        </is>
      </c>
      <c r="D19" s="2" t="inlineStr">
        <is>
          <t>Table 6</t>
        </is>
      </c>
      <c r="E19" s="2" t="inlineStr">
        <is>
          <t>SDG 1: Poverty</t>
        </is>
      </c>
      <c r="F19" s="3" t="n">
        <v>2024</v>
      </c>
      <c r="G19" s="4" t="n">
        <v>1</v>
      </c>
      <c r="H19" s="2" t="inlineStr">
        <is>
          <t>03_output_data/SPI_index.csv</t>
        </is>
      </c>
      <c r="I19" s="2" t="inlineStr">
        <is>
          <t>SPI.D3.1.POV</t>
        </is>
      </c>
      <c r="J19" s="4" t="n">
        <v>1</v>
      </c>
      <c r="K19" s="2" t="inlineStr">
        <is>
          <t>3 decimals</t>
        </is>
      </c>
      <c r="L19" s="4">
        <f>IF(OR(G19="",J19=""),"",G19-J19)</f>
        <v/>
      </c>
      <c r="M19" s="2">
        <f>IF(AND(ISNUMBER(G19),ISNUMBER(J19)),IF(ABS(G19-J19)&lt;=Q19,"PASS","CHECK"),"N/A")</f>
        <v/>
      </c>
      <c r="N19" s="2" t="inlineStr">
        <is>
          <t>2dd02f746cb4e2159281adc74d6865f948e90ce1</t>
        </is>
      </c>
      <c r="O19" s="2" t="inlineStr">
        <is>
          <t>https://raw.githubusercontent.com/worldbank/SPI/2dd02f746cb4e2159281adc74d6865f948e90ce1/03_output_data/SPI_index.csv</t>
        </is>
      </c>
      <c r="P19" s="2" t="n"/>
      <c r="Q19" s="4" t="n">
        <v>0.0005</v>
      </c>
    </row>
    <row r="20" ht="43.5" customHeight="1">
      <c r="A20" s="2" t="inlineStr">
        <is>
          <t>C019</t>
        </is>
      </c>
      <c r="B20" s="2" t="inlineStr">
        <is>
          <t>2.2.3 / Chapter 9</t>
        </is>
      </c>
      <c r="C20" s="2" t="inlineStr">
        <is>
          <t>SDG goal value</t>
        </is>
      </c>
      <c r="D20" s="2" t="inlineStr">
        <is>
          <t>Table 6</t>
        </is>
      </c>
      <c r="E20" s="2" t="inlineStr">
        <is>
          <t>SDG 2: Hunger</t>
        </is>
      </c>
      <c r="F20" s="3" t="n">
        <v>2024</v>
      </c>
      <c r="G20" s="4" t="n">
        <v>0.6</v>
      </c>
      <c r="H20" s="2" t="inlineStr">
        <is>
          <t>03_output_data/SPI_index.csv</t>
        </is>
      </c>
      <c r="I20" s="2" t="inlineStr">
        <is>
          <t>SPI.D3.2.HNGR</t>
        </is>
      </c>
      <c r="J20" s="4" t="n">
        <v>0.6</v>
      </c>
      <c r="K20" s="2" t="inlineStr">
        <is>
          <t>3 decimals</t>
        </is>
      </c>
      <c r="L20" s="4">
        <f>IF(OR(G20="",J20=""),"",G20-J20)</f>
        <v/>
      </c>
      <c r="M20" s="2">
        <f>IF(AND(ISNUMBER(G20),ISNUMBER(J20)),IF(ABS(G20-J20)&lt;=Q20,"PASS","CHECK"),"N/A")</f>
        <v/>
      </c>
      <c r="N20" s="2" t="inlineStr">
        <is>
          <t>2dd02f746cb4e2159281adc74d6865f948e90ce1</t>
        </is>
      </c>
      <c r="O20" s="2" t="inlineStr">
        <is>
          <t>https://raw.githubusercontent.com/worldbank/SPI/2dd02f746cb4e2159281adc74d6865f948e90ce1/03_output_data/SPI_index.csv</t>
        </is>
      </c>
      <c r="P20" s="2" t="n"/>
      <c r="Q20" s="4" t="n">
        <v>0.0005</v>
      </c>
    </row>
    <row r="21" ht="43.5" customHeight="1">
      <c r="A21" s="2" t="inlineStr">
        <is>
          <t>C020</t>
        </is>
      </c>
      <c r="B21" s="2" t="inlineStr">
        <is>
          <t>2.2.3 / Chapter 9</t>
        </is>
      </c>
      <c r="C21" s="2" t="inlineStr">
        <is>
          <t>SDG goal value</t>
        </is>
      </c>
      <c r="D21" s="2" t="inlineStr">
        <is>
          <t>Table 6</t>
        </is>
      </c>
      <c r="E21" s="2" t="inlineStr">
        <is>
          <t>SDG 3: Health</t>
        </is>
      </c>
      <c r="F21" s="3" t="n">
        <v>2024</v>
      </c>
      <c r="G21" s="4" t="n">
        <v>0.76</v>
      </c>
      <c r="H21" s="2" t="inlineStr">
        <is>
          <t>03_output_data/SPI_index.csv</t>
        </is>
      </c>
      <c r="I21" s="2" t="inlineStr">
        <is>
          <t>SPI.D3.3.HLTH</t>
        </is>
      </c>
      <c r="J21" s="4" t="n">
        <v>0.76</v>
      </c>
      <c r="K21" s="2" t="inlineStr">
        <is>
          <t>3 decimals</t>
        </is>
      </c>
      <c r="L21" s="4">
        <f>IF(OR(G21="",J21=""),"",G21-J21)</f>
        <v/>
      </c>
      <c r="M21" s="2">
        <f>IF(AND(ISNUMBER(G21),ISNUMBER(J21)),IF(ABS(G21-J21)&lt;=Q21,"PASS","CHECK"),"N/A")</f>
        <v/>
      </c>
      <c r="N21" s="2" t="inlineStr">
        <is>
          <t>2dd02f746cb4e2159281adc74d6865f948e90ce1</t>
        </is>
      </c>
      <c r="O21" s="2" t="inlineStr">
        <is>
          <t>https://raw.githubusercontent.com/worldbank/SPI/2dd02f746cb4e2159281adc74d6865f948e90ce1/03_output_data/SPI_index.csv</t>
        </is>
      </c>
      <c r="P21" s="2" t="n"/>
      <c r="Q21" s="4" t="n">
        <v>0.0005</v>
      </c>
    </row>
    <row r="22" ht="43.5" customHeight="1">
      <c r="A22" s="2" t="inlineStr">
        <is>
          <t>C021</t>
        </is>
      </c>
      <c r="B22" s="2" t="inlineStr">
        <is>
          <t>2.2.3 / Chapter 9</t>
        </is>
      </c>
      <c r="C22" s="2" t="inlineStr">
        <is>
          <t>SDG goal value</t>
        </is>
      </c>
      <c r="D22" s="2" t="inlineStr">
        <is>
          <t>Table 6</t>
        </is>
      </c>
      <c r="E22" s="2" t="inlineStr">
        <is>
          <t>SDG 4: Education</t>
        </is>
      </c>
      <c r="F22" s="3" t="n">
        <v>2024</v>
      </c>
      <c r="G22" s="4" t="n">
        <v>1</v>
      </c>
      <c r="H22" s="2" t="inlineStr">
        <is>
          <t>03_output_data/SPI_index.csv</t>
        </is>
      </c>
      <c r="I22" s="2" t="inlineStr">
        <is>
          <t>SPI.D3.4.EDUC</t>
        </is>
      </c>
      <c r="J22" s="4" t="n">
        <v>1</v>
      </c>
      <c r="K22" s="2" t="inlineStr">
        <is>
          <t>3 decimals</t>
        </is>
      </c>
      <c r="L22" s="4">
        <f>IF(OR(G22="",J22=""),"",G22-J22)</f>
        <v/>
      </c>
      <c r="M22" s="2">
        <f>IF(AND(ISNUMBER(G22),ISNUMBER(J22)),IF(ABS(G22-J22)&lt;=Q22,"PASS","CHECK"),"N/A")</f>
        <v/>
      </c>
      <c r="N22" s="2" t="inlineStr">
        <is>
          <t>2dd02f746cb4e2159281adc74d6865f948e90ce1</t>
        </is>
      </c>
      <c r="O22" s="2" t="inlineStr">
        <is>
          <t>https://raw.githubusercontent.com/worldbank/SPI/2dd02f746cb4e2159281adc74d6865f948e90ce1/03_output_data/SPI_index.csv</t>
        </is>
      </c>
      <c r="P22" s="2" t="n"/>
      <c r="Q22" s="4" t="n">
        <v>0.0005</v>
      </c>
    </row>
    <row r="23" ht="43.5" customHeight="1">
      <c r="A23" s="2" t="inlineStr">
        <is>
          <t>C022</t>
        </is>
      </c>
      <c r="B23" s="2" t="inlineStr">
        <is>
          <t>2.2.3 / Chapter 9</t>
        </is>
      </c>
      <c r="C23" s="2" t="inlineStr">
        <is>
          <t>SDG goal value</t>
        </is>
      </c>
      <c r="D23" s="2" t="inlineStr">
        <is>
          <t>Table 6</t>
        </is>
      </c>
      <c r="E23" s="2" t="inlineStr">
        <is>
          <t>SDG 5: Gender</t>
        </is>
      </c>
      <c r="F23" s="3" t="n">
        <v>2024</v>
      </c>
      <c r="G23" s="4" t="n">
        <v>0.5</v>
      </c>
      <c r="H23" s="2" t="inlineStr">
        <is>
          <t>03_output_data/SPI_index.csv</t>
        </is>
      </c>
      <c r="I23" s="2" t="inlineStr">
        <is>
          <t>SPI.D3.5.GEND</t>
        </is>
      </c>
      <c r="J23" s="4" t="n">
        <v>0.5</v>
      </c>
      <c r="K23" s="2" t="inlineStr">
        <is>
          <t>3 decimals</t>
        </is>
      </c>
      <c r="L23" s="4">
        <f>IF(OR(G23="",J23=""),"",G23-J23)</f>
        <v/>
      </c>
      <c r="M23" s="2">
        <f>IF(AND(ISNUMBER(G23),ISNUMBER(J23)),IF(ABS(G23-J23)&lt;=Q23,"PASS","CHECK"),"N/A")</f>
        <v/>
      </c>
      <c r="N23" s="2" t="inlineStr">
        <is>
          <t>2dd02f746cb4e2159281adc74d6865f948e90ce1</t>
        </is>
      </c>
      <c r="O23" s="2" t="inlineStr">
        <is>
          <t>https://raw.githubusercontent.com/worldbank/SPI/2dd02f746cb4e2159281adc74d6865f948e90ce1/03_output_data/SPI_index.csv</t>
        </is>
      </c>
      <c r="P23" s="2" t="n"/>
      <c r="Q23" s="4" t="n">
        <v>0.0005</v>
      </c>
    </row>
    <row r="24" ht="43.5" customHeight="1">
      <c r="A24" s="2" t="inlineStr">
        <is>
          <t>C023</t>
        </is>
      </c>
      <c r="B24" s="2" t="inlineStr">
        <is>
          <t>2.2.3 / Chapter 9</t>
        </is>
      </c>
      <c r="C24" s="2" t="inlineStr">
        <is>
          <t>SDG goal value</t>
        </is>
      </c>
      <c r="D24" s="2" t="inlineStr">
        <is>
          <t>Table 6</t>
        </is>
      </c>
      <c r="E24" s="2" t="inlineStr">
        <is>
          <t>SDG 6: Water</t>
        </is>
      </c>
      <c r="F24" s="3" t="n">
        <v>2024</v>
      </c>
      <c r="G24" s="4" t="n">
        <v>1</v>
      </c>
      <c r="H24" s="2" t="inlineStr">
        <is>
          <t>03_output_data/SPI_index.csv</t>
        </is>
      </c>
      <c r="I24" s="2" t="inlineStr">
        <is>
          <t>SPI.D3.6.WTRS</t>
        </is>
      </c>
      <c r="J24" s="4" t="n">
        <v>1</v>
      </c>
      <c r="K24" s="2" t="inlineStr">
        <is>
          <t>3 decimals</t>
        </is>
      </c>
      <c r="L24" s="4">
        <f>IF(OR(G24="",J24=""),"",G24-J24)</f>
        <v/>
      </c>
      <c r="M24" s="2">
        <f>IF(AND(ISNUMBER(G24),ISNUMBER(J24)),IF(ABS(G24-J24)&lt;=Q24,"PASS","CHECK"),"N/A")</f>
        <v/>
      </c>
      <c r="N24" s="2" t="inlineStr">
        <is>
          <t>2dd02f746cb4e2159281adc74d6865f948e90ce1</t>
        </is>
      </c>
      <c r="O24" s="2" t="inlineStr">
        <is>
          <t>https://raw.githubusercontent.com/worldbank/SPI/2dd02f746cb4e2159281adc74d6865f948e90ce1/03_output_data/SPI_index.csv</t>
        </is>
      </c>
      <c r="P24" s="2" t="n"/>
      <c r="Q24" s="4" t="n">
        <v>0.0005</v>
      </c>
    </row>
    <row r="25" ht="43.5" customHeight="1">
      <c r="A25" s="2" t="inlineStr">
        <is>
          <t>C024</t>
        </is>
      </c>
      <c r="B25" s="2" t="inlineStr">
        <is>
          <t>2.2.3 / Chapter 9</t>
        </is>
      </c>
      <c r="C25" s="2" t="inlineStr">
        <is>
          <t>SDG goal value</t>
        </is>
      </c>
      <c r="D25" s="2" t="inlineStr">
        <is>
          <t>Table 6</t>
        </is>
      </c>
      <c r="E25" s="2" t="inlineStr">
        <is>
          <t>SDG 7: Energy</t>
        </is>
      </c>
      <c r="F25" s="3" t="n">
        <v>2024</v>
      </c>
      <c r="G25" s="4" t="n">
        <v>0.944</v>
      </c>
      <c r="H25" s="2" t="inlineStr">
        <is>
          <t>03_output_data/SPI_index.csv</t>
        </is>
      </c>
      <c r="I25" s="2" t="inlineStr">
        <is>
          <t>SPI.D3.7.ENRG</t>
        </is>
      </c>
      <c r="J25" s="4" t="n">
        <v>0.944</v>
      </c>
      <c r="K25" s="2" t="inlineStr">
        <is>
          <t>3 decimals</t>
        </is>
      </c>
      <c r="L25" s="4">
        <f>IF(OR(G25="",J25=""),"",G25-J25)</f>
        <v/>
      </c>
      <c r="M25" s="2">
        <f>IF(AND(ISNUMBER(G25),ISNUMBER(J25)),IF(ABS(G25-J25)&lt;=Q25,"PASS","CHECK"),"N/A")</f>
        <v/>
      </c>
      <c r="N25" s="2" t="inlineStr">
        <is>
          <t>2dd02f746cb4e2159281adc74d6865f948e90ce1</t>
        </is>
      </c>
      <c r="O25" s="2" t="inlineStr">
        <is>
          <t>https://raw.githubusercontent.com/worldbank/SPI/2dd02f746cb4e2159281adc74d6865f948e90ce1/03_output_data/SPI_index.csv</t>
        </is>
      </c>
      <c r="P25" s="2" t="n"/>
      <c r="Q25" s="4" t="n">
        <v>0.0005</v>
      </c>
    </row>
    <row r="26" ht="43.5" customHeight="1">
      <c r="A26" s="2" t="inlineStr">
        <is>
          <t>C025</t>
        </is>
      </c>
      <c r="B26" s="2" t="inlineStr">
        <is>
          <t>2.2.3 / Chapter 9</t>
        </is>
      </c>
      <c r="C26" s="2" t="inlineStr">
        <is>
          <t>SDG goal value</t>
        </is>
      </c>
      <c r="D26" s="2" t="inlineStr">
        <is>
          <t>Table 6</t>
        </is>
      </c>
      <c r="E26" s="2" t="inlineStr">
        <is>
          <t>SDG 8: Work</t>
        </is>
      </c>
      <c r="F26" s="3" t="n">
        <v>2024</v>
      </c>
      <c r="G26" s="4" t="n">
        <v>0.75</v>
      </c>
      <c r="H26" s="2" t="inlineStr">
        <is>
          <t>03_output_data/SPI_index.csv</t>
        </is>
      </c>
      <c r="I26" s="2" t="inlineStr">
        <is>
          <t>SPI.D3.8.WORK</t>
        </is>
      </c>
      <c r="J26" s="4" t="n">
        <v>0.75</v>
      </c>
      <c r="K26" s="2" t="inlineStr">
        <is>
          <t>3 decimals</t>
        </is>
      </c>
      <c r="L26" s="4">
        <f>IF(OR(G26="",J26=""),"",G26-J26)</f>
        <v/>
      </c>
      <c r="M26" s="2">
        <f>IF(AND(ISNUMBER(G26),ISNUMBER(J26)),IF(ABS(G26-J26)&lt;=Q26,"PASS","CHECK"),"N/A")</f>
        <v/>
      </c>
      <c r="N26" s="2" t="inlineStr">
        <is>
          <t>2dd02f746cb4e2159281adc74d6865f948e90ce1</t>
        </is>
      </c>
      <c r="O26" s="2" t="inlineStr">
        <is>
          <t>https://raw.githubusercontent.com/worldbank/SPI/2dd02f746cb4e2159281adc74d6865f948e90ce1/03_output_data/SPI_index.csv</t>
        </is>
      </c>
      <c r="P26" s="2" t="n"/>
      <c r="Q26" s="4" t="n">
        <v>0.0005</v>
      </c>
    </row>
    <row r="27" ht="43.5" customHeight="1">
      <c r="A27" s="2" t="inlineStr">
        <is>
          <t>C026</t>
        </is>
      </c>
      <c r="B27" s="2" t="inlineStr">
        <is>
          <t>2.2.3 / Chapter 9</t>
        </is>
      </c>
      <c r="C27" s="2" t="inlineStr">
        <is>
          <t>SDG goal value</t>
        </is>
      </c>
      <c r="D27" s="2" t="inlineStr">
        <is>
          <t>Table 6</t>
        </is>
      </c>
      <c r="E27" s="2" t="inlineStr">
        <is>
          <t>SDG 9: Industry</t>
        </is>
      </c>
      <c r="F27" s="3" t="n">
        <v>2024</v>
      </c>
      <c r="G27" s="4" t="n">
        <v>0.9</v>
      </c>
      <c r="H27" s="2" t="inlineStr">
        <is>
          <t>03_output_data/SPI_index.csv</t>
        </is>
      </c>
      <c r="I27" s="2" t="inlineStr">
        <is>
          <t>SPI.D3.9.INDY</t>
        </is>
      </c>
      <c r="J27" s="4" t="n">
        <v>0.9</v>
      </c>
      <c r="K27" s="2" t="inlineStr">
        <is>
          <t>3 decimals</t>
        </is>
      </c>
      <c r="L27" s="4">
        <f>IF(OR(G27="",J27=""),"",G27-J27)</f>
        <v/>
      </c>
      <c r="M27" s="2">
        <f>IF(AND(ISNUMBER(G27),ISNUMBER(J27)),IF(ABS(G27-J27)&lt;=Q27,"PASS","CHECK"),"N/A")</f>
        <v/>
      </c>
      <c r="N27" s="2" t="inlineStr">
        <is>
          <t>2dd02f746cb4e2159281adc74d6865f948e90ce1</t>
        </is>
      </c>
      <c r="O27" s="2" t="inlineStr">
        <is>
          <t>https://raw.githubusercontent.com/worldbank/SPI/2dd02f746cb4e2159281adc74d6865f948e90ce1/03_output_data/SPI_index.csv</t>
        </is>
      </c>
      <c r="P27" s="2" t="n"/>
      <c r="Q27" s="4" t="n">
        <v>0.0005</v>
      </c>
    </row>
    <row r="28" ht="43.5" customHeight="1">
      <c r="A28" s="2" t="inlineStr">
        <is>
          <t>C027</t>
        </is>
      </c>
      <c r="B28" s="2" t="inlineStr">
        <is>
          <t>2.2.3 / Chapter 9</t>
        </is>
      </c>
      <c r="C28" s="2" t="inlineStr">
        <is>
          <t>SDG goal value</t>
        </is>
      </c>
      <c r="D28" s="2" t="inlineStr">
        <is>
          <t>Table 6</t>
        </is>
      </c>
      <c r="E28" s="2" t="inlineStr">
        <is>
          <t>SDG 10: Inequality</t>
        </is>
      </c>
      <c r="F28" s="3" t="n">
        <v>2024</v>
      </c>
      <c r="G28" s="4" t="n">
        <v>0.75</v>
      </c>
      <c r="H28" s="2" t="inlineStr">
        <is>
          <t>03_output_data/SPI_index.csv</t>
        </is>
      </c>
      <c r="I28" s="2" t="inlineStr">
        <is>
          <t>SPI.D3.10.INEQ</t>
        </is>
      </c>
      <c r="J28" s="4" t="n">
        <v>0.75</v>
      </c>
      <c r="K28" s="2" t="inlineStr">
        <is>
          <t>3 decimals</t>
        </is>
      </c>
      <c r="L28" s="4">
        <f>IF(OR(G28="",J28=""),"",G28-J28)</f>
        <v/>
      </c>
      <c r="M28" s="2">
        <f>IF(AND(ISNUMBER(G28),ISNUMBER(J28)),IF(ABS(G28-J28)&lt;=Q28,"PASS","CHECK"),"N/A")</f>
        <v/>
      </c>
      <c r="N28" s="2" t="inlineStr">
        <is>
          <t>2dd02f746cb4e2159281adc74d6865f948e90ce1</t>
        </is>
      </c>
      <c r="O28" s="2" t="inlineStr">
        <is>
          <t>https://raw.githubusercontent.com/worldbank/SPI/2dd02f746cb4e2159281adc74d6865f948e90ce1/03_output_data/SPI_index.csv</t>
        </is>
      </c>
      <c r="P28" s="2" t="n"/>
      <c r="Q28" s="4" t="n">
        <v>0.0005</v>
      </c>
    </row>
    <row r="29" ht="43.5" customHeight="1">
      <c r="A29" s="2" t="inlineStr">
        <is>
          <t>C028</t>
        </is>
      </c>
      <c r="B29" s="2" t="inlineStr">
        <is>
          <t>2.2.3 / Chapter 9</t>
        </is>
      </c>
      <c r="C29" s="2" t="inlineStr">
        <is>
          <t>SDG goal value</t>
        </is>
      </c>
      <c r="D29" s="2" t="inlineStr">
        <is>
          <t>Table 6</t>
        </is>
      </c>
      <c r="E29" s="2" t="inlineStr">
        <is>
          <t>SDG 11: Cities</t>
        </is>
      </c>
      <c r="F29" s="3" t="n">
        <v>2024</v>
      </c>
      <c r="G29" s="4" t="n">
        <v>0.75</v>
      </c>
      <c r="H29" s="2" t="inlineStr">
        <is>
          <t>03_output_data/SPI_index.csv</t>
        </is>
      </c>
      <c r="I29" s="2" t="inlineStr">
        <is>
          <t>SPI.D3.11.CITY</t>
        </is>
      </c>
      <c r="J29" s="4" t="n">
        <v>0.75</v>
      </c>
      <c r="K29" s="2" t="inlineStr">
        <is>
          <t>3 decimals</t>
        </is>
      </c>
      <c r="L29" s="4">
        <f>IF(OR(G29="",J29=""),"",G29-J29)</f>
        <v/>
      </c>
      <c r="M29" s="2">
        <f>IF(AND(ISNUMBER(G29),ISNUMBER(J29)),IF(ABS(G29-J29)&lt;=Q29,"PASS","CHECK"),"N/A")</f>
        <v/>
      </c>
      <c r="N29" s="2" t="inlineStr">
        <is>
          <t>2dd02f746cb4e2159281adc74d6865f948e90ce1</t>
        </is>
      </c>
      <c r="O29" s="2" t="inlineStr">
        <is>
          <t>https://raw.githubusercontent.com/worldbank/SPI/2dd02f746cb4e2159281adc74d6865f948e90ce1/03_output_data/SPI_index.csv</t>
        </is>
      </c>
      <c r="P29" s="2" t="n"/>
      <c r="Q29" s="4" t="n">
        <v>0.0005</v>
      </c>
    </row>
    <row r="30" ht="43.5" customHeight="1">
      <c r="A30" s="2" t="inlineStr">
        <is>
          <t>C029</t>
        </is>
      </c>
      <c r="B30" s="2" t="inlineStr">
        <is>
          <t>2.2.3 / Chapter 9</t>
        </is>
      </c>
      <c r="C30" s="2" t="inlineStr">
        <is>
          <t>SDG goal value</t>
        </is>
      </c>
      <c r="D30" s="2" t="inlineStr">
        <is>
          <t>Table 6</t>
        </is>
      </c>
      <c r="E30" s="2" t="inlineStr">
        <is>
          <t>SDG 12: Consumption</t>
        </is>
      </c>
      <c r="F30" s="3" t="n">
        <v>2024</v>
      </c>
      <c r="G30" s="4" t="n">
        <v>0.8</v>
      </c>
      <c r="H30" s="2" t="inlineStr">
        <is>
          <t>03_output_data/SPI_index.csv</t>
        </is>
      </c>
      <c r="I30" s="2" t="inlineStr">
        <is>
          <t>SPI.D3.12.CNSP</t>
        </is>
      </c>
      <c r="J30" s="4" t="n">
        <v>0.8</v>
      </c>
      <c r="K30" s="2" t="inlineStr">
        <is>
          <t>3 decimals</t>
        </is>
      </c>
      <c r="L30" s="4">
        <f>IF(OR(G30="",J30=""),"",G30-J30)</f>
        <v/>
      </c>
      <c r="M30" s="2">
        <f>IF(AND(ISNUMBER(G30),ISNUMBER(J30)),IF(ABS(G30-J30)&lt;=Q30,"PASS","CHECK"),"N/A")</f>
        <v/>
      </c>
      <c r="N30" s="2" t="inlineStr">
        <is>
          <t>2dd02f746cb4e2159281adc74d6865f948e90ce1</t>
        </is>
      </c>
      <c r="O30" s="2" t="inlineStr">
        <is>
          <t>https://raw.githubusercontent.com/worldbank/SPI/2dd02f746cb4e2159281adc74d6865f948e90ce1/03_output_data/SPI_index.csv</t>
        </is>
      </c>
      <c r="P30" s="2" t="n"/>
      <c r="Q30" s="4" t="n">
        <v>0.0005</v>
      </c>
    </row>
    <row r="31" ht="43.5" customHeight="1">
      <c r="A31" s="2" t="inlineStr">
        <is>
          <t>C030</t>
        </is>
      </c>
      <c r="B31" s="2" t="inlineStr">
        <is>
          <t>2.2.3 / Chapter 9</t>
        </is>
      </c>
      <c r="C31" s="2" t="inlineStr">
        <is>
          <t>SDG goal value</t>
        </is>
      </c>
      <c r="D31" s="2" t="inlineStr">
        <is>
          <t>Table 6</t>
        </is>
      </c>
      <c r="E31" s="2" t="inlineStr">
        <is>
          <t>SDG 13: Climate</t>
        </is>
      </c>
      <c r="F31" s="3" t="n">
        <v>2024</v>
      </c>
      <c r="G31" s="4" t="n">
        <v>0.5</v>
      </c>
      <c r="H31" s="2" t="inlineStr">
        <is>
          <t>03_output_data/SPI_index.csv</t>
        </is>
      </c>
      <c r="I31" s="2" t="inlineStr">
        <is>
          <t>SPI.D3.13.CLMT</t>
        </is>
      </c>
      <c r="J31" s="4" t="n">
        <v>0.5</v>
      </c>
      <c r="K31" s="2" t="inlineStr">
        <is>
          <t>3 decimals</t>
        </is>
      </c>
      <c r="L31" s="4">
        <f>IF(OR(G31="",J31=""),"",G31-J31)</f>
        <v/>
      </c>
      <c r="M31" s="2">
        <f>IF(AND(ISNUMBER(G31),ISNUMBER(J31)),IF(ABS(G31-J31)&lt;=Q31,"PASS","CHECK"),"N/A")</f>
        <v/>
      </c>
      <c r="N31" s="2" t="inlineStr">
        <is>
          <t>2dd02f746cb4e2159281adc74d6865f948e90ce1</t>
        </is>
      </c>
      <c r="O31" s="2" t="inlineStr">
        <is>
          <t>https://raw.githubusercontent.com/worldbank/SPI/2dd02f746cb4e2159281adc74d6865f948e90ce1/03_output_data/SPI_index.csv</t>
        </is>
      </c>
      <c r="P31" s="2" t="n"/>
      <c r="Q31" s="4" t="n">
        <v>0.0005</v>
      </c>
    </row>
    <row r="32" ht="43.5" customHeight="1">
      <c r="A32" s="2" t="inlineStr">
        <is>
          <t>C031</t>
        </is>
      </c>
      <c r="B32" s="2" t="inlineStr">
        <is>
          <t>2.2.3 / Chapter 9</t>
        </is>
      </c>
      <c r="C32" s="2" t="inlineStr">
        <is>
          <t>SDG goal value</t>
        </is>
      </c>
      <c r="D32" s="2" t="inlineStr">
        <is>
          <t>Table 6</t>
        </is>
      </c>
      <c r="E32" s="2" t="inlineStr">
        <is>
          <t>SDG 15: Land</t>
        </is>
      </c>
      <c r="F32" s="3" t="n">
        <v>2024</v>
      </c>
      <c r="G32" s="4" t="n">
        <v>0.917</v>
      </c>
      <c r="H32" s="2" t="inlineStr">
        <is>
          <t>03_output_data/SPI_index.csv</t>
        </is>
      </c>
      <c r="I32" s="2" t="inlineStr">
        <is>
          <t>SPI.D3.15.LAND</t>
        </is>
      </c>
      <c r="J32" s="4" t="n">
        <v>0.917</v>
      </c>
      <c r="K32" s="2" t="inlineStr">
        <is>
          <t>3 decimals</t>
        </is>
      </c>
      <c r="L32" s="4">
        <f>IF(OR(G32="",J32=""),"",G32-J32)</f>
        <v/>
      </c>
      <c r="M32" s="2">
        <f>IF(AND(ISNUMBER(G32),ISNUMBER(J32)),IF(ABS(G32-J32)&lt;=Q32,"PASS","CHECK"),"N/A")</f>
        <v/>
      </c>
      <c r="N32" s="2" t="inlineStr">
        <is>
          <t>2dd02f746cb4e2159281adc74d6865f948e90ce1</t>
        </is>
      </c>
      <c r="O32" s="2" t="inlineStr">
        <is>
          <t>https://raw.githubusercontent.com/worldbank/SPI/2dd02f746cb4e2159281adc74d6865f948e90ce1/03_output_data/SPI_index.csv</t>
        </is>
      </c>
      <c r="P32" s="2" t="n"/>
      <c r="Q32" s="4" t="n">
        <v>0.0005</v>
      </c>
    </row>
    <row r="33" ht="43.5" customHeight="1">
      <c r="A33" s="2" t="inlineStr">
        <is>
          <t>C032</t>
        </is>
      </c>
      <c r="B33" s="2" t="inlineStr">
        <is>
          <t>2.2.3 / Chapter 9</t>
        </is>
      </c>
      <c r="C33" s="2" t="inlineStr">
        <is>
          <t>SDG goal value</t>
        </is>
      </c>
      <c r="D33" s="2" t="inlineStr">
        <is>
          <t>Table 6</t>
        </is>
      </c>
      <c r="E33" s="2" t="inlineStr">
        <is>
          <t>SDG 16: Institutions</t>
        </is>
      </c>
      <c r="F33" s="3" t="n">
        <v>2024</v>
      </c>
      <c r="G33" s="4" t="n">
        <v>0.714</v>
      </c>
      <c r="H33" s="2" t="inlineStr">
        <is>
          <t>03_output_data/SPI_index.csv</t>
        </is>
      </c>
      <c r="I33" s="2" t="inlineStr">
        <is>
          <t>SPI.D3.16.INST</t>
        </is>
      </c>
      <c r="J33" s="4" t="n">
        <v>0.714</v>
      </c>
      <c r="K33" s="2" t="inlineStr">
        <is>
          <t>3 decimals</t>
        </is>
      </c>
      <c r="L33" s="4">
        <f>IF(OR(G33="",J33=""),"",G33-J33)</f>
        <v/>
      </c>
      <c r="M33" s="2">
        <f>IF(AND(ISNUMBER(G33),ISNUMBER(J33)),IF(ABS(G33-J33)&lt;=Q33,"PASS","CHECK"),"N/A")</f>
        <v/>
      </c>
      <c r="N33" s="2" t="inlineStr">
        <is>
          <t>2dd02f746cb4e2159281adc74d6865f948e90ce1</t>
        </is>
      </c>
      <c r="O33" s="2" t="inlineStr">
        <is>
          <t>https://raw.githubusercontent.com/worldbank/SPI/2dd02f746cb4e2159281adc74d6865f948e90ce1/03_output_data/SPI_index.csv</t>
        </is>
      </c>
      <c r="P33" s="2" t="n"/>
      <c r="Q33" s="4" t="n">
        <v>0.0005</v>
      </c>
    </row>
    <row r="34" ht="43.5" customHeight="1">
      <c r="A34" s="2" t="inlineStr">
        <is>
          <t>C033</t>
        </is>
      </c>
      <c r="B34" s="2" t="inlineStr">
        <is>
          <t>2.2.3 / Chapter 9</t>
        </is>
      </c>
      <c r="C34" s="2" t="inlineStr">
        <is>
          <t>SDG goal value</t>
        </is>
      </c>
      <c r="D34" s="2" t="inlineStr">
        <is>
          <t>Table 6</t>
        </is>
      </c>
      <c r="E34" s="2" t="inlineStr">
        <is>
          <t>SDG 17: Partnerships</t>
        </is>
      </c>
      <c r="F34" s="3" t="n">
        <v>2024</v>
      </c>
      <c r="G34" s="4" t="n">
        <v>0.9330000000000001</v>
      </c>
      <c r="H34" s="2" t="inlineStr">
        <is>
          <t>03_output_data/SPI_index.csv</t>
        </is>
      </c>
      <c r="I34" s="2" t="inlineStr">
        <is>
          <t>SPI.D3.17.PTRN</t>
        </is>
      </c>
      <c r="J34" s="4" t="n">
        <v>0.9330000000000001</v>
      </c>
      <c r="K34" s="2" t="inlineStr">
        <is>
          <t>3 decimals</t>
        </is>
      </c>
      <c r="L34" s="4">
        <f>IF(OR(G34="",J34=""),"",G34-J34)</f>
        <v/>
      </c>
      <c r="M34" s="2">
        <f>IF(AND(ISNUMBER(G34),ISNUMBER(J34)),IF(ABS(G34-J34)&lt;=Q34,"PASS","CHECK"),"N/A")</f>
        <v/>
      </c>
      <c r="N34" s="2" t="inlineStr">
        <is>
          <t>2dd02f746cb4e2159281adc74d6865f948e90ce1</t>
        </is>
      </c>
      <c r="O34" s="2" t="inlineStr">
        <is>
          <t>https://raw.githubusercontent.com/worldbank/SPI/2dd02f746cb4e2159281adc74d6865f948e90ce1/03_output_data/SPI_index.csv</t>
        </is>
      </c>
      <c r="P34" s="2" t="n"/>
      <c r="Q34" s="4" t="n">
        <v>0.0005</v>
      </c>
    </row>
    <row r="35" ht="43.5" customHeight="1">
      <c r="A35" s="2" t="inlineStr">
        <is>
          <t>C034</t>
        </is>
      </c>
      <c r="B35" s="2" t="inlineStr">
        <is>
          <t>2.2.4</t>
        </is>
      </c>
      <c r="C35" s="2" t="inlineStr">
        <is>
          <t>P4 component</t>
        </is>
      </c>
      <c r="D35" s="2" t="inlineStr">
        <is>
          <t>Table 7</t>
        </is>
      </c>
      <c r="E35" s="2" t="inlineStr">
        <is>
          <t>Censuses</t>
        </is>
      </c>
      <c r="F35" s="3" t="n">
        <v>2024</v>
      </c>
      <c r="G35" s="4" t="n">
        <v>0.333333</v>
      </c>
      <c r="H35" s="2" t="inlineStr">
        <is>
          <t>03_output_data/SPI_index.csv</t>
        </is>
      </c>
      <c r="I35" s="2" t="inlineStr">
        <is>
          <t>SPI.DIM4.1.CEN.INDEX</t>
        </is>
      </c>
      <c r="J35" s="4" t="n">
        <v>0.333333</v>
      </c>
      <c r="K35" s="2" t="inlineStr">
        <is>
          <t>3 decimals</t>
        </is>
      </c>
      <c r="L35" s="4">
        <f>IF(OR(G35="",J35=""),"",G35-J35)</f>
        <v/>
      </c>
      <c r="M35" s="2">
        <f>IF(AND(ISNUMBER(G35),ISNUMBER(J35)),IF(ABS(G35-J35)&lt;=Q35,"PASS","CHECK"),"N/A")</f>
        <v/>
      </c>
      <c r="N35" s="2" t="inlineStr">
        <is>
          <t>2dd02f746cb4e2159281adc74d6865f948e90ce1</t>
        </is>
      </c>
      <c r="O35" s="2" t="inlineStr">
        <is>
          <t>https://raw.githubusercontent.com/worldbank/SPI/2dd02f746cb4e2159281adc74d6865f948e90ce1/03_output_data/SPI_index.csv</t>
        </is>
      </c>
      <c r="P35" s="2" t="n"/>
      <c r="Q35" s="4" t="n">
        <v>0.0005</v>
      </c>
    </row>
    <row r="36" ht="43.5" customHeight="1">
      <c r="A36" s="2" t="inlineStr">
        <is>
          <t>C035</t>
        </is>
      </c>
      <c r="B36" s="2" t="inlineStr">
        <is>
          <t>2.2.4</t>
        </is>
      </c>
      <c r="C36" s="2" t="inlineStr">
        <is>
          <t>P4 component</t>
        </is>
      </c>
      <c r="D36" s="2" t="inlineStr">
        <is>
          <t>Table 7</t>
        </is>
      </c>
      <c r="E36" s="2" t="inlineStr">
        <is>
          <t>Surveys</t>
        </is>
      </c>
      <c r="F36" s="3" t="n">
        <v>2024</v>
      </c>
      <c r="G36" s="4" t="n">
        <v>0.8</v>
      </c>
      <c r="H36" s="2" t="inlineStr">
        <is>
          <t>03_output_data/SPI_index.csv</t>
        </is>
      </c>
      <c r="I36" s="2" t="inlineStr">
        <is>
          <t>SPI.DIM4.1.SVY.INDEX</t>
        </is>
      </c>
      <c r="J36" s="4" t="n">
        <v>0.8</v>
      </c>
      <c r="K36" s="2" t="inlineStr">
        <is>
          <t>3 decimals</t>
        </is>
      </c>
      <c r="L36" s="4">
        <f>IF(OR(G36="",J36=""),"",G36-J36)</f>
        <v/>
      </c>
      <c r="M36" s="2">
        <f>IF(AND(ISNUMBER(G36),ISNUMBER(J36)),IF(ABS(G36-J36)&lt;=Q36,"PASS","CHECK"),"N/A")</f>
        <v/>
      </c>
      <c r="N36" s="2" t="inlineStr">
        <is>
          <t>2dd02f746cb4e2159281adc74d6865f948e90ce1</t>
        </is>
      </c>
      <c r="O36" s="2" t="inlineStr">
        <is>
          <t>https://raw.githubusercontent.com/worldbank/SPI/2dd02f746cb4e2159281adc74d6865f948e90ce1/03_output_data/SPI_index.csv</t>
        </is>
      </c>
      <c r="P36" s="2" t="n"/>
      <c r="Q36" s="4" t="n">
        <v>0.0005</v>
      </c>
    </row>
    <row r="37" ht="43.5" customHeight="1">
      <c r="A37" s="2" t="inlineStr">
        <is>
          <t>C036</t>
        </is>
      </c>
      <c r="B37" s="2" t="inlineStr">
        <is>
          <t>2.2.4</t>
        </is>
      </c>
      <c r="C37" s="2" t="inlineStr">
        <is>
          <t>P4 component</t>
        </is>
      </c>
      <c r="D37" s="2" t="inlineStr">
        <is>
          <t>Table 7</t>
        </is>
      </c>
      <c r="E37" s="2" t="inlineStr">
        <is>
          <t>Administrative data</t>
        </is>
      </c>
      <c r="F37" s="3" t="n">
        <v>2024</v>
      </c>
      <c r="G37" s="4" t="n">
        <v>1</v>
      </c>
      <c r="H37" s="2" t="inlineStr">
        <is>
          <t>03_output_data/SPI_index.csv</t>
        </is>
      </c>
      <c r="I37" s="2" t="inlineStr">
        <is>
          <t>SPI.DIM4.2.INDEX</t>
        </is>
      </c>
      <c r="J37" s="4" t="n">
        <v>1</v>
      </c>
      <c r="K37" s="2" t="inlineStr">
        <is>
          <t>3 decimals</t>
        </is>
      </c>
      <c r="L37" s="4">
        <f>IF(OR(G37="",J37=""),"",G37-J37)</f>
        <v/>
      </c>
      <c r="M37" s="2">
        <f>IF(AND(ISNUMBER(G37),ISNUMBER(J37)),IF(ABS(G37-J37)&lt;=Q37,"PASS","CHECK"),"N/A")</f>
        <v/>
      </c>
      <c r="N37" s="2" t="inlineStr">
        <is>
          <t>2dd02f746cb4e2159281adc74d6865f948e90ce1</t>
        </is>
      </c>
      <c r="O37" s="2" t="inlineStr">
        <is>
          <t>https://raw.githubusercontent.com/worldbank/SPI/2dd02f746cb4e2159281adc74d6865f948e90ce1/03_output_data/SPI_index.csv</t>
        </is>
      </c>
      <c r="P37" s="2" t="n"/>
      <c r="Q37" s="4" t="n">
        <v>0.0005</v>
      </c>
    </row>
    <row r="38" ht="43.5" customHeight="1">
      <c r="A38" s="2" t="inlineStr">
        <is>
          <t>C037</t>
        </is>
      </c>
      <c r="B38" s="2" t="inlineStr">
        <is>
          <t>2.2.4</t>
        </is>
      </c>
      <c r="C38" s="2" t="inlineStr">
        <is>
          <t>P4 component</t>
        </is>
      </c>
      <c r="D38" s="2" t="inlineStr">
        <is>
          <t>Table 7</t>
        </is>
      </c>
      <c r="E38" s="2" t="inlineStr">
        <is>
          <t>Geospatial data</t>
        </is>
      </c>
      <c r="F38" s="3" t="n">
        <v>2024</v>
      </c>
      <c r="G38" s="4" t="n">
        <v>0.595</v>
      </c>
      <c r="H38" s="2" t="inlineStr">
        <is>
          <t>03_output_data/SPI_index.csv</t>
        </is>
      </c>
      <c r="I38" s="2" t="inlineStr">
        <is>
          <t>SPI.DIM4.3.INDEX</t>
        </is>
      </c>
      <c r="J38" s="4" t="n">
        <v>0.595</v>
      </c>
      <c r="K38" s="2" t="inlineStr">
        <is>
          <t>3 decimals</t>
        </is>
      </c>
      <c r="L38" s="4">
        <f>IF(OR(G38="",J38=""),"",G38-J38)</f>
        <v/>
      </c>
      <c r="M38" s="2">
        <f>IF(AND(ISNUMBER(G38),ISNUMBER(J38)),IF(ABS(G38-J38)&lt;=Q38,"PASS","CHECK"),"N/A")</f>
        <v/>
      </c>
      <c r="N38" s="2" t="inlineStr">
        <is>
          <t>2dd02f746cb4e2159281adc74d6865f948e90ce1</t>
        </is>
      </c>
      <c r="O38" s="2" t="inlineStr">
        <is>
          <t>https://raw.githubusercontent.com/worldbank/SPI/2dd02f746cb4e2159281adc74d6865f948e90ce1/03_output_data/SPI_index.csv</t>
        </is>
      </c>
      <c r="P38" s="2" t="n"/>
      <c r="Q38" s="4" t="n">
        <v>0.0005</v>
      </c>
    </row>
    <row r="39" ht="43.5" customHeight="1">
      <c r="A39" s="2" t="inlineStr">
        <is>
          <t>C038</t>
        </is>
      </c>
      <c r="B39" s="2" t="inlineStr">
        <is>
          <t>2.2.5 / 4.1</t>
        </is>
      </c>
      <c r="C39" s="2" t="inlineStr">
        <is>
          <t>P5 Dim 5.2 indicator</t>
        </is>
      </c>
      <c r="D39" s="2" t="inlineStr">
        <is>
          <t>Table 8</t>
        </is>
      </c>
      <c r="E39" s="2" t="inlineStr">
        <is>
          <t>System of National Accounts standard (SNA)</t>
        </is>
      </c>
      <c r="F39" s="3" t="n">
        <v>2024</v>
      </c>
      <c r="G39" s="4" t="n">
        <v>1</v>
      </c>
      <c r="H39" s="2" t="inlineStr">
        <is>
          <t>03_output_data/SPI_index.csv</t>
        </is>
      </c>
      <c r="I39" s="2" t="inlineStr">
        <is>
          <t>SPI.D5.2.1.SNAU</t>
        </is>
      </c>
      <c r="J39" s="4" t="n">
        <v>1</v>
      </c>
      <c r="K39" s="2" t="inlineStr">
        <is>
          <t>2 decimals</t>
        </is>
      </c>
      <c r="L39" s="4">
        <f>IF(OR(G39="",J39=""),"",G39-J39)</f>
        <v/>
      </c>
      <c r="M39" s="2">
        <f>IF(AND(ISNUMBER(G39),ISNUMBER(J39)),IF(ABS(G39-J39)&lt;=Q39,"PASS","CHECK"),"N/A")</f>
        <v/>
      </c>
      <c r="N39" s="2" t="inlineStr">
        <is>
          <t>2dd02f746cb4e2159281adc74d6865f948e90ce1</t>
        </is>
      </c>
      <c r="O39" s="2" t="inlineStr">
        <is>
          <t>https://raw.githubusercontent.com/worldbank/SPI/2dd02f746cb4e2159281adc74d6865f948e90ce1/03_output_data/SPI_index.csv</t>
        </is>
      </c>
      <c r="P39" s="2" t="n"/>
      <c r="Q39" s="4" t="n">
        <v>0.005</v>
      </c>
    </row>
    <row r="40" ht="43.5" customHeight="1">
      <c r="A40" s="2" t="inlineStr">
        <is>
          <t>C039</t>
        </is>
      </c>
      <c r="B40" s="2" t="inlineStr">
        <is>
          <t>2.2.5 / 4.1</t>
        </is>
      </c>
      <c r="C40" s="2" t="inlineStr">
        <is>
          <t>P5 Dim 5.2 indicator</t>
        </is>
      </c>
      <c r="D40" s="2" t="inlineStr">
        <is>
          <t>Table 8</t>
        </is>
      </c>
      <c r="E40" s="2" t="inlineStr">
        <is>
          <t>National accounts base year</t>
        </is>
      </c>
      <c r="F40" s="3" t="n">
        <v>2024</v>
      </c>
      <c r="G40" s="4" t="n">
        <v>1</v>
      </c>
      <c r="H40" s="2" t="inlineStr">
        <is>
          <t>03_output_data/SPI_index.csv</t>
        </is>
      </c>
      <c r="I40" s="2" t="inlineStr">
        <is>
          <t>SPI.D5.2.2.NABY</t>
        </is>
      </c>
      <c r="J40" s="4" t="n">
        <v>1</v>
      </c>
      <c r="K40" s="2" t="inlineStr">
        <is>
          <t>2 decimals</t>
        </is>
      </c>
      <c r="L40" s="4">
        <f>IF(OR(G40="",J40=""),"",G40-J40)</f>
        <v/>
      </c>
      <c r="M40" s="2">
        <f>IF(AND(ISNUMBER(G40),ISNUMBER(J40)),IF(ABS(G40-J40)&lt;=Q40,"PASS","CHECK"),"N/A")</f>
        <v/>
      </c>
      <c r="N40" s="2" t="inlineStr">
        <is>
          <t>2dd02f746cb4e2159281adc74d6865f948e90ce1</t>
        </is>
      </c>
      <c r="O40" s="2" t="inlineStr">
        <is>
          <t>https://raw.githubusercontent.com/worldbank/SPI/2dd02f746cb4e2159281adc74d6865f948e90ce1/03_output_data/SPI_index.csv</t>
        </is>
      </c>
      <c r="P40" s="2" t="n"/>
      <c r="Q40" s="4" t="n">
        <v>0.005</v>
      </c>
    </row>
    <row r="41" ht="43.5" customHeight="1">
      <c r="A41" s="2" t="inlineStr">
        <is>
          <t>C040</t>
        </is>
      </c>
      <c r="B41" s="2" t="inlineStr">
        <is>
          <t>2.2.5 / 4.1</t>
        </is>
      </c>
      <c r="C41" s="2" t="inlineStr">
        <is>
          <t>P5 Dim 5.2 indicator</t>
        </is>
      </c>
      <c r="D41" s="2" t="inlineStr">
        <is>
          <t>Table 8</t>
        </is>
      </c>
      <c r="E41" s="2" t="inlineStr">
        <is>
          <t>National industrial classification (ISIC)</t>
        </is>
      </c>
      <c r="F41" s="3" t="n">
        <v>2024</v>
      </c>
      <c r="G41" s="4" t="n">
        <v>1</v>
      </c>
      <c r="H41" s="2" t="inlineStr">
        <is>
          <t>03_output_data/SPI_index.csv</t>
        </is>
      </c>
      <c r="I41" s="2" t="inlineStr">
        <is>
          <t>SPI.D5.2.3.CNIN</t>
        </is>
      </c>
      <c r="J41" s="4" t="n">
        <v>1</v>
      </c>
      <c r="K41" s="2" t="inlineStr">
        <is>
          <t>2 decimals</t>
        </is>
      </c>
      <c r="L41" s="4">
        <f>IF(OR(G41="",J41=""),"",G41-J41)</f>
        <v/>
      </c>
      <c r="M41" s="2">
        <f>IF(AND(ISNUMBER(G41),ISNUMBER(J41)),IF(ABS(G41-J41)&lt;=Q41,"PASS","CHECK"),"N/A")</f>
        <v/>
      </c>
      <c r="N41" s="2" t="inlineStr">
        <is>
          <t>2dd02f746cb4e2159281adc74d6865f948e90ce1</t>
        </is>
      </c>
      <c r="O41" s="2" t="inlineStr">
        <is>
          <t>https://raw.githubusercontent.com/worldbank/SPI/2dd02f746cb4e2159281adc74d6865f948e90ce1/03_output_data/SPI_index.csv</t>
        </is>
      </c>
      <c r="P41" s="2" t="n"/>
      <c r="Q41" s="4" t="n">
        <v>0.005</v>
      </c>
    </row>
    <row r="42" ht="43.5" customHeight="1">
      <c r="A42" s="2" t="inlineStr">
        <is>
          <t>C041</t>
        </is>
      </c>
      <c r="B42" s="2" t="inlineStr">
        <is>
          <t>2.2.5 / 4.1</t>
        </is>
      </c>
      <c r="C42" s="2" t="inlineStr">
        <is>
          <t>P5 Dim 5.2 indicator</t>
        </is>
      </c>
      <c r="D42" s="2" t="inlineStr">
        <is>
          <t>Table 8</t>
        </is>
      </c>
      <c r="E42" s="2" t="inlineStr">
        <is>
          <t>CPI base year</t>
        </is>
      </c>
      <c r="F42" s="3" t="n">
        <v>2024</v>
      </c>
      <c r="G42" s="4" t="n">
        <v>0.5</v>
      </c>
      <c r="H42" s="2" t="inlineStr">
        <is>
          <t>03_output_data/SPI_index.csv</t>
        </is>
      </c>
      <c r="I42" s="2" t="inlineStr">
        <is>
          <t>SPI.D5.2.4.CPIBY</t>
        </is>
      </c>
      <c r="J42" s="4" t="n">
        <v>0.5</v>
      </c>
      <c r="K42" s="2" t="inlineStr">
        <is>
          <t>2 decimals</t>
        </is>
      </c>
      <c r="L42" s="4">
        <f>IF(OR(G42="",J42=""),"",G42-J42)</f>
        <v/>
      </c>
      <c r="M42" s="2">
        <f>IF(AND(ISNUMBER(G42),ISNUMBER(J42)),IF(ABS(G42-J42)&lt;=Q42,"PASS","CHECK"),"N/A")</f>
        <v/>
      </c>
      <c r="N42" s="2" t="inlineStr">
        <is>
          <t>2dd02f746cb4e2159281adc74d6865f948e90ce1</t>
        </is>
      </c>
      <c r="O42" s="2" t="inlineStr">
        <is>
          <t>https://raw.githubusercontent.com/worldbank/SPI/2dd02f746cb4e2159281adc74d6865f948e90ce1/03_output_data/SPI_index.csv</t>
        </is>
      </c>
      <c r="P42" s="2" t="n"/>
      <c r="Q42" s="4" t="n">
        <v>0.005</v>
      </c>
    </row>
    <row r="43" ht="43.5" customHeight="1">
      <c r="A43" s="2" t="inlineStr">
        <is>
          <t>C042</t>
        </is>
      </c>
      <c r="B43" s="2" t="inlineStr">
        <is>
          <t>2.2.5 / 4.1</t>
        </is>
      </c>
      <c r="C43" s="2" t="inlineStr">
        <is>
          <t>P5 Dim 5.2 indicator</t>
        </is>
      </c>
      <c r="D43" s="2" t="inlineStr">
        <is>
          <t>Table 8</t>
        </is>
      </c>
      <c r="E43" s="2" t="inlineStr">
        <is>
          <t>COICOP</t>
        </is>
      </c>
      <c r="F43" s="3" t="n">
        <v>2024</v>
      </c>
      <c r="G43" s="4" t="n">
        <v>1</v>
      </c>
      <c r="H43" s="2" t="inlineStr">
        <is>
          <t>03_output_data/SPI_index.csv</t>
        </is>
      </c>
      <c r="I43" s="2" t="inlineStr">
        <is>
          <t>SPI.D5.2.5.HOUS</t>
        </is>
      </c>
      <c r="J43" s="4" t="n">
        <v>1</v>
      </c>
      <c r="K43" s="2" t="inlineStr">
        <is>
          <t>2 decimals</t>
        </is>
      </c>
      <c r="L43" s="4">
        <f>IF(OR(G43="",J43=""),"",G43-J43)</f>
        <v/>
      </c>
      <c r="M43" s="2">
        <f>IF(AND(ISNUMBER(G43),ISNUMBER(J43)),IF(ABS(G43-J43)&lt;=Q43,"PASS","CHECK"),"N/A")</f>
        <v/>
      </c>
      <c r="N43" s="2" t="inlineStr">
        <is>
          <t>2dd02f746cb4e2159281adc74d6865f948e90ce1</t>
        </is>
      </c>
      <c r="O43" s="2" t="inlineStr">
        <is>
          <t>https://raw.githubusercontent.com/worldbank/SPI/2dd02f746cb4e2159281adc74d6865f948e90ce1/03_output_data/SPI_index.csv</t>
        </is>
      </c>
      <c r="P43" s="2" t="n"/>
      <c r="Q43" s="4" t="n">
        <v>0.005</v>
      </c>
    </row>
    <row r="44" ht="43.5" customHeight="1">
      <c r="A44" s="2" t="inlineStr">
        <is>
          <t>C043</t>
        </is>
      </c>
      <c r="B44" s="2" t="inlineStr">
        <is>
          <t>2.2.5 / 4.1</t>
        </is>
      </c>
      <c r="C44" s="2" t="inlineStr">
        <is>
          <t>P5 Dim 5.2 indicator</t>
        </is>
      </c>
      <c r="D44" s="2" t="inlineStr">
        <is>
          <t>Table 8</t>
        </is>
      </c>
      <c r="E44" s="2" t="inlineStr">
        <is>
          <t>ICSE</t>
        </is>
      </c>
      <c r="F44" s="3" t="n">
        <v>2024</v>
      </c>
      <c r="G44" s="4" t="n">
        <v>1</v>
      </c>
      <c r="H44" s="2" t="inlineStr">
        <is>
          <t>03_output_data/SPI_index.csv</t>
        </is>
      </c>
      <c r="I44" s="2" t="inlineStr">
        <is>
          <t>SPI.D5.2.6.EMPL</t>
        </is>
      </c>
      <c r="J44" s="4" t="n">
        <v>1</v>
      </c>
      <c r="K44" s="2" t="inlineStr">
        <is>
          <t>2 decimals</t>
        </is>
      </c>
      <c r="L44" s="4">
        <f>IF(OR(G44="",J44=""),"",G44-J44)</f>
        <v/>
      </c>
      <c r="M44" s="2">
        <f>IF(AND(ISNUMBER(G44),ISNUMBER(J44)),IF(ABS(G44-J44)&lt;=Q44,"PASS","CHECK"),"N/A")</f>
        <v/>
      </c>
      <c r="N44" s="2" t="inlineStr">
        <is>
          <t>2dd02f746cb4e2159281adc74d6865f948e90ce1</t>
        </is>
      </c>
      <c r="O44" s="2" t="inlineStr">
        <is>
          <t>https://raw.githubusercontent.com/worldbank/SPI/2dd02f746cb4e2159281adc74d6865f948e90ce1/03_output_data/SPI_index.csv</t>
        </is>
      </c>
      <c r="P44" s="2" t="n"/>
      <c r="Q44" s="4" t="n">
        <v>0.005</v>
      </c>
    </row>
    <row r="45" ht="43.5" customHeight="1">
      <c r="A45" s="2" t="inlineStr">
        <is>
          <t>C044</t>
        </is>
      </c>
      <c r="B45" s="2" t="inlineStr">
        <is>
          <t>2.2.5 / 4.1</t>
        </is>
      </c>
      <c r="C45" s="2" t="inlineStr">
        <is>
          <t>P5 Dim 5.2 indicator</t>
        </is>
      </c>
      <c r="D45" s="2" t="inlineStr">
        <is>
          <t>Table 8</t>
        </is>
      </c>
      <c r="E45" s="2" t="inlineStr">
        <is>
          <t>Central government accounting</t>
        </is>
      </c>
      <c r="F45" s="3" t="n">
        <v>2024</v>
      </c>
      <c r="G45" s="4" t="n">
        <v>0.5</v>
      </c>
      <c r="H45" s="2" t="inlineStr">
        <is>
          <t>03_output_data/SPI_index.csv</t>
        </is>
      </c>
      <c r="I45" s="2" t="inlineStr">
        <is>
          <t>SPI.D5.2.7.CGOV</t>
        </is>
      </c>
      <c r="J45" s="4" t="n">
        <v>0.5</v>
      </c>
      <c r="K45" s="2" t="inlineStr">
        <is>
          <t>2 decimals</t>
        </is>
      </c>
      <c r="L45" s="4">
        <f>IF(OR(G45="",J45=""),"",G45-J45)</f>
        <v/>
      </c>
      <c r="M45" s="2">
        <f>IF(AND(ISNUMBER(G45),ISNUMBER(J45)),IF(ABS(G45-J45)&lt;=Q45,"PASS","CHECK"),"N/A")</f>
        <v/>
      </c>
      <c r="N45" s="2" t="inlineStr">
        <is>
          <t>2dd02f746cb4e2159281adc74d6865f948e90ce1</t>
        </is>
      </c>
      <c r="O45" s="2" t="inlineStr">
        <is>
          <t>https://raw.githubusercontent.com/worldbank/SPI/2dd02f746cb4e2159281adc74d6865f948e90ce1/03_output_data/SPI_index.csv</t>
        </is>
      </c>
      <c r="P45" s="2" t="n"/>
      <c r="Q45" s="4" t="n">
        <v>0.005</v>
      </c>
    </row>
    <row r="46" ht="43.5" customHeight="1">
      <c r="A46" s="2" t="inlineStr">
        <is>
          <t>C045</t>
        </is>
      </c>
      <c r="B46" s="2" t="inlineStr">
        <is>
          <t>2.2.5 / 4.1</t>
        </is>
      </c>
      <c r="C46" s="2" t="inlineStr">
        <is>
          <t>P5 Dim 5.2 indicator</t>
        </is>
      </c>
      <c r="D46" s="2" t="inlineStr">
        <is>
          <t>Table 8</t>
        </is>
      </c>
      <c r="E46" s="2" t="inlineStr">
        <is>
          <t>GFSM 2014</t>
        </is>
      </c>
      <c r="F46" s="3" t="n">
        <v>2024</v>
      </c>
      <c r="G46" s="4" t="n">
        <v>1</v>
      </c>
      <c r="H46" s="2" t="inlineStr">
        <is>
          <t>03_output_data/SPI_index.csv</t>
        </is>
      </c>
      <c r="I46" s="2" t="inlineStr">
        <is>
          <t>SPI.D5.2.8.FINA</t>
        </is>
      </c>
      <c r="J46" s="4" t="n">
        <v>1</v>
      </c>
      <c r="K46" s="2" t="inlineStr">
        <is>
          <t>2 decimals</t>
        </is>
      </c>
      <c r="L46" s="4">
        <f>IF(OR(G46="",J46=""),"",G46-J46)</f>
        <v/>
      </c>
      <c r="M46" s="2">
        <f>IF(AND(ISNUMBER(G46),ISNUMBER(J46)),IF(ABS(G46-J46)&lt;=Q46,"PASS","CHECK"),"N/A")</f>
        <v/>
      </c>
      <c r="N46" s="2" t="inlineStr">
        <is>
          <t>2dd02f746cb4e2159281adc74d6865f948e90ce1</t>
        </is>
      </c>
      <c r="O46" s="2" t="inlineStr">
        <is>
          <t>https://raw.githubusercontent.com/worldbank/SPI/2dd02f746cb4e2159281adc74d6865f948e90ce1/03_output_data/SPI_index.csv</t>
        </is>
      </c>
      <c r="P46" s="2" t="n"/>
      <c r="Q46" s="4" t="n">
        <v>0.005</v>
      </c>
    </row>
    <row r="47" ht="43.5" customHeight="1">
      <c r="A47" s="2" t="inlineStr">
        <is>
          <t>C046</t>
        </is>
      </c>
      <c r="B47" s="2" t="inlineStr">
        <is>
          <t>2.2.5 / 4.1</t>
        </is>
      </c>
      <c r="C47" s="2" t="inlineStr">
        <is>
          <t>P5 Dim 5.2 indicator</t>
        </is>
      </c>
      <c r="D47" s="2" t="inlineStr">
        <is>
          <t>Table 8</t>
        </is>
      </c>
      <c r="E47" s="2" t="inlineStr">
        <is>
          <t>MFSM 2000</t>
        </is>
      </c>
      <c r="F47" s="3" t="n">
        <v>2024</v>
      </c>
      <c r="G47" s="4" t="n">
        <v>1</v>
      </c>
      <c r="H47" s="2" t="inlineStr">
        <is>
          <t>03_output_data/SPI_index.csv</t>
        </is>
      </c>
      <c r="I47" s="2" t="inlineStr">
        <is>
          <t>SPI.D5.2.9.MONY</t>
        </is>
      </c>
      <c r="J47" s="4" t="n">
        <v>1</v>
      </c>
      <c r="K47" s="2" t="inlineStr">
        <is>
          <t>2 decimals</t>
        </is>
      </c>
      <c r="L47" s="4">
        <f>IF(OR(G47="",J47=""),"",G47-J47)</f>
        <v/>
      </c>
      <c r="M47" s="2">
        <f>IF(AND(ISNUMBER(G47),ISNUMBER(J47)),IF(ABS(G47-J47)&lt;=Q47,"PASS","CHECK"),"N/A")</f>
        <v/>
      </c>
      <c r="N47" s="2" t="inlineStr">
        <is>
          <t>2dd02f746cb4e2159281adc74d6865f948e90ce1</t>
        </is>
      </c>
      <c r="O47" s="2" t="inlineStr">
        <is>
          <t>https://raw.githubusercontent.com/worldbank/SPI/2dd02f746cb4e2159281adc74d6865f948e90ce1/03_output_data/SPI_index.csv</t>
        </is>
      </c>
      <c r="P47" s="2" t="n"/>
      <c r="Q47" s="4" t="n">
        <v>0.005</v>
      </c>
    </row>
    <row r="48" ht="43.5" customHeight="1">
      <c r="A48" s="2" t="inlineStr">
        <is>
          <t>C047</t>
        </is>
      </c>
      <c r="B48" s="2" t="inlineStr">
        <is>
          <t>2.2.5 / 4.1</t>
        </is>
      </c>
      <c r="C48" s="2" t="inlineStr">
        <is>
          <t>P5 Dim 5.2 indicator</t>
        </is>
      </c>
      <c r="D48" s="2" t="inlineStr">
        <is>
          <t>Table 8</t>
        </is>
      </c>
      <c r="E48" s="2" t="inlineStr">
        <is>
          <t>GSBPM</t>
        </is>
      </c>
      <c r="F48" s="3" t="n">
        <v>2024</v>
      </c>
      <c r="G48" s="4" t="n">
        <v>1</v>
      </c>
      <c r="H48" s="2" t="inlineStr">
        <is>
          <t>03_output_data/SPI_index.csv</t>
        </is>
      </c>
      <c r="I48" s="2" t="inlineStr">
        <is>
          <t>SPI.D5.2.10.GSBP</t>
        </is>
      </c>
      <c r="J48" s="4" t="n">
        <v>1</v>
      </c>
      <c r="K48" s="2" t="inlineStr">
        <is>
          <t>2 decimals</t>
        </is>
      </c>
      <c r="L48" s="4">
        <f>IF(OR(G48="",J48=""),"",G48-J48)</f>
        <v/>
      </c>
      <c r="M48" s="2">
        <f>IF(AND(ISNUMBER(G48),ISNUMBER(J48)),IF(ABS(G48-J48)&lt;=Q48,"PASS","CHECK"),"N/A")</f>
        <v/>
      </c>
      <c r="N48" s="2" t="inlineStr">
        <is>
          <t>2dd02f746cb4e2159281adc74d6865f948e90ce1</t>
        </is>
      </c>
      <c r="O48" s="2" t="inlineStr">
        <is>
          <t>https://raw.githubusercontent.com/worldbank/SPI/2dd02f746cb4e2159281adc74d6865f948e90ce1/03_output_data/SPI_index.csv</t>
        </is>
      </c>
      <c r="P48" s="2" t="n"/>
      <c r="Q48" s="4" t="n">
        <v>0.005</v>
      </c>
    </row>
    <row r="49" ht="43.5" customHeight="1">
      <c r="A49" s="2" t="inlineStr">
        <is>
          <t>C048</t>
        </is>
      </c>
      <c r="B49" s="2" t="inlineStr">
        <is>
          <t>Chapter 3</t>
        </is>
      </c>
      <c r="C49" s="2" t="inlineStr">
        <is>
          <t>2024 international comparison</t>
        </is>
      </c>
      <c r="D49" s="2" t="inlineStr">
        <is>
          <t>Table 9</t>
        </is>
      </c>
      <c r="E49" s="2" t="inlineStr">
        <is>
          <t>Norway — overall SPI</t>
        </is>
      </c>
      <c r="F49" s="3" t="n">
        <v>2024</v>
      </c>
      <c r="G49" s="4" t="n">
        <v>94.14</v>
      </c>
      <c r="H49" s="2" t="inlineStr">
        <is>
          <t>03_output_data/SPI_index.csv</t>
        </is>
      </c>
      <c r="I49" s="2" t="inlineStr">
        <is>
          <t>SPI.INDEX</t>
        </is>
      </c>
      <c r="J49" s="4" t="n">
        <v>94.14</v>
      </c>
      <c r="K49" s="2" t="inlineStr">
        <is>
          <t>2 decimals</t>
        </is>
      </c>
      <c r="L49" s="4">
        <f>IF(OR(G49="",J49=""),"",G49-J49)</f>
        <v/>
      </c>
      <c r="M49" s="2">
        <f>IF(AND(ISNUMBER(G49),ISNUMBER(J49)),IF(ABS(G49-J49)&lt;=Q49,"PASS","CHECK"),"N/A")</f>
        <v/>
      </c>
      <c r="N49" s="2" t="inlineStr">
        <is>
          <t>2dd02f746cb4e2159281adc74d6865f948e90ce1</t>
        </is>
      </c>
      <c r="O49" s="2" t="inlineStr">
        <is>
          <t>https://raw.githubusercontent.com/worldbank/SPI/2dd02f746cb4e2159281adc74d6865f948e90ce1/03_output_data/SPI_index.csv</t>
        </is>
      </c>
      <c r="P49" s="2" t="n"/>
      <c r="Q49" s="4" t="n">
        <v>0.005</v>
      </c>
    </row>
    <row r="50" ht="43.5" customHeight="1">
      <c r="A50" s="2" t="inlineStr">
        <is>
          <t>C049</t>
        </is>
      </c>
      <c r="B50" s="2" t="inlineStr">
        <is>
          <t>Chapter 3</t>
        </is>
      </c>
      <c r="C50" s="2" t="inlineStr">
        <is>
          <t>Rank recomputed among 188 economies</t>
        </is>
      </c>
      <c r="D50" s="2" t="inlineStr">
        <is>
          <t>Table 9</t>
        </is>
      </c>
      <c r="E50" s="2" t="inlineStr">
        <is>
          <t>Norway — rank</t>
        </is>
      </c>
      <c r="F50" s="3" t="n">
        <v>2024</v>
      </c>
      <c r="G50" s="4" t="n">
        <v>1</v>
      </c>
      <c r="H50" s="2" t="inlineStr">
        <is>
          <t>03_output_data/SPI_index.csv</t>
        </is>
      </c>
      <c r="I50" s="2" t="inlineStr">
        <is>
          <t>rank(desc SPI.INDEX)</t>
        </is>
      </c>
      <c r="J50" s="4" t="n">
        <v>1</v>
      </c>
      <c r="K50" s="2" t="inlineStr">
        <is>
          <t>integer</t>
        </is>
      </c>
      <c r="L50" s="4">
        <f>IF(OR(G50="",J50=""),"",G50-J50)</f>
        <v/>
      </c>
      <c r="M50" s="2">
        <f>IF(AND(ISNUMBER(G50),ISNUMBER(J50)),IF(ABS(G50-J50)&lt;=Q50,"PASS","CHECK"),"N/A")</f>
        <v/>
      </c>
      <c r="N50" s="2" t="inlineStr">
        <is>
          <t>2dd02f746cb4e2159281adc74d6865f948e90ce1</t>
        </is>
      </c>
      <c r="O50" s="2" t="inlineStr">
        <is>
          <t>https://raw.githubusercontent.com/worldbank/SPI/2dd02f746cb4e2159281adc74d6865f948e90ce1/03_output_data/SPI_index.csv</t>
        </is>
      </c>
      <c r="P50" s="2" t="inlineStr">
        <is>
          <t>Rank recomputed among the 188 economies with a non-missing SPI.INDEX value in 2024.</t>
        </is>
      </c>
      <c r="Q50" s="4" t="n">
        <v>0</v>
      </c>
    </row>
    <row r="51" ht="43.5" customHeight="1">
      <c r="A51" s="2" t="inlineStr">
        <is>
          <t>C050</t>
        </is>
      </c>
      <c r="B51" s="2" t="inlineStr">
        <is>
          <t>Chapter 3</t>
        </is>
      </c>
      <c r="C51" s="2" t="inlineStr">
        <is>
          <t>2024 international comparison</t>
        </is>
      </c>
      <c r="D51" s="2" t="inlineStr">
        <is>
          <t>Table 9</t>
        </is>
      </c>
      <c r="E51" s="2" t="inlineStr">
        <is>
          <t>Korea, Rep. — overall SPI</t>
        </is>
      </c>
      <c r="F51" s="3" t="n">
        <v>2024</v>
      </c>
      <c r="G51" s="4" t="n">
        <v>91.56999999999999</v>
      </c>
      <c r="H51" s="2" t="inlineStr">
        <is>
          <t>03_output_data/SPI_index.csv</t>
        </is>
      </c>
      <c r="I51" s="2" t="inlineStr">
        <is>
          <t>SPI.INDEX</t>
        </is>
      </c>
      <c r="J51" s="4" t="n">
        <v>91.56999999999999</v>
      </c>
      <c r="K51" s="2" t="inlineStr">
        <is>
          <t>2 decimals</t>
        </is>
      </c>
      <c r="L51" s="4">
        <f>IF(OR(G51="",J51=""),"",G51-J51)</f>
        <v/>
      </c>
      <c r="M51" s="2">
        <f>IF(AND(ISNUMBER(G51),ISNUMBER(J51)),IF(ABS(G51-J51)&lt;=Q51,"PASS","CHECK"),"N/A")</f>
        <v/>
      </c>
      <c r="N51" s="2" t="inlineStr">
        <is>
          <t>2dd02f746cb4e2159281adc74d6865f948e90ce1</t>
        </is>
      </c>
      <c r="O51" s="2" t="inlineStr">
        <is>
          <t>https://raw.githubusercontent.com/worldbank/SPI/2dd02f746cb4e2159281adc74d6865f948e90ce1/03_output_data/SPI_index.csv</t>
        </is>
      </c>
      <c r="P51" s="2" t="n"/>
      <c r="Q51" s="4" t="n">
        <v>0.005</v>
      </c>
    </row>
    <row r="52" ht="43.5" customHeight="1">
      <c r="A52" s="2" t="inlineStr">
        <is>
          <t>C051</t>
        </is>
      </c>
      <c r="B52" s="2" t="inlineStr">
        <is>
          <t>Chapter 3</t>
        </is>
      </c>
      <c r="C52" s="2" t="inlineStr">
        <is>
          <t>Rank recomputed among 188 economies</t>
        </is>
      </c>
      <c r="D52" s="2" t="inlineStr">
        <is>
          <t>Table 9</t>
        </is>
      </c>
      <c r="E52" s="2" t="inlineStr">
        <is>
          <t>Korea, Rep. — rank</t>
        </is>
      </c>
      <c r="F52" s="3" t="n">
        <v>2024</v>
      </c>
      <c r="G52" s="4" t="n">
        <v>7</v>
      </c>
      <c r="H52" s="2" t="inlineStr">
        <is>
          <t>03_output_data/SPI_index.csv</t>
        </is>
      </c>
      <c r="I52" s="2" t="inlineStr">
        <is>
          <t>rank(desc SPI.INDEX)</t>
        </is>
      </c>
      <c r="J52" s="4" t="n">
        <v>7</v>
      </c>
      <c r="K52" s="2" t="inlineStr">
        <is>
          <t>integer</t>
        </is>
      </c>
      <c r="L52" s="4">
        <f>IF(OR(G52="",J52=""),"",G52-J52)</f>
        <v/>
      </c>
      <c r="M52" s="2">
        <f>IF(AND(ISNUMBER(G52),ISNUMBER(J52)),IF(ABS(G52-J52)&lt;=Q52,"PASS","CHECK"),"N/A")</f>
        <v/>
      </c>
      <c r="N52" s="2" t="inlineStr">
        <is>
          <t>2dd02f746cb4e2159281adc74d6865f948e90ce1</t>
        </is>
      </c>
      <c r="O52" s="2" t="inlineStr">
        <is>
          <t>https://raw.githubusercontent.com/worldbank/SPI/2dd02f746cb4e2159281adc74d6865f948e90ce1/03_output_data/SPI_index.csv</t>
        </is>
      </c>
      <c r="P52" s="2" t="inlineStr">
        <is>
          <t>Rank recomputed among the 188 economies with a non-missing SPI.INDEX value in 2024.</t>
        </is>
      </c>
      <c r="Q52" s="4" t="n">
        <v>0</v>
      </c>
    </row>
    <row r="53" ht="43.5" customHeight="1">
      <c r="A53" s="2" t="inlineStr">
        <is>
          <t>C052</t>
        </is>
      </c>
      <c r="B53" s="2" t="inlineStr">
        <is>
          <t>Chapter 3</t>
        </is>
      </c>
      <c r="C53" s="2" t="inlineStr">
        <is>
          <t>2024 international comparison</t>
        </is>
      </c>
      <c r="D53" s="2" t="inlineStr">
        <is>
          <t>Table 9</t>
        </is>
      </c>
      <c r="E53" s="2" t="inlineStr">
        <is>
          <t>Finland — overall SPI</t>
        </is>
      </c>
      <c r="F53" s="3" t="n">
        <v>2024</v>
      </c>
      <c r="G53" s="4" t="n">
        <v>90.37</v>
      </c>
      <c r="H53" s="2" t="inlineStr">
        <is>
          <t>03_output_data/SPI_index.csv</t>
        </is>
      </c>
      <c r="I53" s="2" t="inlineStr">
        <is>
          <t>SPI.INDEX</t>
        </is>
      </c>
      <c r="J53" s="4" t="n">
        <v>90.37</v>
      </c>
      <c r="K53" s="2" t="inlineStr">
        <is>
          <t>2 decimals</t>
        </is>
      </c>
      <c r="L53" s="4">
        <f>IF(OR(G53="",J53=""),"",G53-J53)</f>
        <v/>
      </c>
      <c r="M53" s="2">
        <f>IF(AND(ISNUMBER(G53),ISNUMBER(J53)),IF(ABS(G53-J53)&lt;=Q53,"PASS","CHECK"),"N/A")</f>
        <v/>
      </c>
      <c r="N53" s="2" t="inlineStr">
        <is>
          <t>2dd02f746cb4e2159281adc74d6865f948e90ce1</t>
        </is>
      </c>
      <c r="O53" s="2" t="inlineStr">
        <is>
          <t>https://raw.githubusercontent.com/worldbank/SPI/2dd02f746cb4e2159281adc74d6865f948e90ce1/03_output_data/SPI_index.csv</t>
        </is>
      </c>
      <c r="P53" s="2" t="n"/>
      <c r="Q53" s="4" t="n">
        <v>0.005</v>
      </c>
    </row>
    <row r="54" ht="43.5" customHeight="1">
      <c r="A54" s="2" t="inlineStr">
        <is>
          <t>C053</t>
        </is>
      </c>
      <c r="B54" s="2" t="inlineStr">
        <is>
          <t>Chapter 3</t>
        </is>
      </c>
      <c r="C54" s="2" t="inlineStr">
        <is>
          <t>Rank recomputed among 188 economies</t>
        </is>
      </c>
      <c r="D54" s="2" t="inlineStr">
        <is>
          <t>Table 9</t>
        </is>
      </c>
      <c r="E54" s="2" t="inlineStr">
        <is>
          <t>Finland — rank</t>
        </is>
      </c>
      <c r="F54" s="3" t="n">
        <v>2024</v>
      </c>
      <c r="G54" s="4" t="n">
        <v>16</v>
      </c>
      <c r="H54" s="2" t="inlineStr">
        <is>
          <t>03_output_data/SPI_index.csv</t>
        </is>
      </c>
      <c r="I54" s="2" t="inlineStr">
        <is>
          <t>rank(desc SPI.INDEX)</t>
        </is>
      </c>
      <c r="J54" s="4" t="n">
        <v>16</v>
      </c>
      <c r="K54" s="2" t="inlineStr">
        <is>
          <t>integer</t>
        </is>
      </c>
      <c r="L54" s="4">
        <f>IF(OR(G54="",J54=""),"",G54-J54)</f>
        <v/>
      </c>
      <c r="M54" s="2">
        <f>IF(AND(ISNUMBER(G54),ISNUMBER(J54)),IF(ABS(G54-J54)&lt;=Q54,"PASS","CHECK"),"N/A")</f>
        <v/>
      </c>
      <c r="N54" s="2" t="inlineStr">
        <is>
          <t>2dd02f746cb4e2159281adc74d6865f948e90ce1</t>
        </is>
      </c>
      <c r="O54" s="2" t="inlineStr">
        <is>
          <t>https://raw.githubusercontent.com/worldbank/SPI/2dd02f746cb4e2159281adc74d6865f948e90ce1/03_output_data/SPI_index.csv</t>
        </is>
      </c>
      <c r="P54" s="2" t="inlineStr">
        <is>
          <t>Rank recomputed among the 188 economies with a non-missing SPI.INDEX value in 2024.</t>
        </is>
      </c>
      <c r="Q54" s="4" t="n">
        <v>0</v>
      </c>
    </row>
    <row r="55" ht="43.5" customHeight="1">
      <c r="A55" s="2" t="inlineStr">
        <is>
          <t>C054</t>
        </is>
      </c>
      <c r="B55" s="2" t="inlineStr">
        <is>
          <t>Chapter 3</t>
        </is>
      </c>
      <c r="C55" s="2" t="inlineStr">
        <is>
          <t>2024 international comparison</t>
        </is>
      </c>
      <c r="D55" s="2" t="inlineStr">
        <is>
          <t>Table 9</t>
        </is>
      </c>
      <c r="E55" s="2" t="inlineStr">
        <is>
          <t>Georgia — overall SPI</t>
        </is>
      </c>
      <c r="F55" s="3" t="n">
        <v>2024</v>
      </c>
      <c r="G55" s="4" t="n">
        <v>87.72</v>
      </c>
      <c r="H55" s="2" t="inlineStr">
        <is>
          <t>03_output_data/SPI_index.csv</t>
        </is>
      </c>
      <c r="I55" s="2" t="inlineStr">
        <is>
          <t>SPI.INDEX</t>
        </is>
      </c>
      <c r="J55" s="4" t="n">
        <v>87.72</v>
      </c>
      <c r="K55" s="2" t="inlineStr">
        <is>
          <t>2 decimals</t>
        </is>
      </c>
      <c r="L55" s="4">
        <f>IF(OR(G55="",J55=""),"",G55-J55)</f>
        <v/>
      </c>
      <c r="M55" s="2">
        <f>IF(AND(ISNUMBER(G55),ISNUMBER(J55)),IF(ABS(G55-J55)&lt;=Q55,"PASS","CHECK"),"N/A")</f>
        <v/>
      </c>
      <c r="N55" s="2" t="inlineStr">
        <is>
          <t>2dd02f746cb4e2159281adc74d6865f948e90ce1</t>
        </is>
      </c>
      <c r="O55" s="2" t="inlineStr">
        <is>
          <t>https://raw.githubusercontent.com/worldbank/SPI/2dd02f746cb4e2159281adc74d6865f948e90ce1/03_output_data/SPI_index.csv</t>
        </is>
      </c>
      <c r="P55" s="2" t="n"/>
      <c r="Q55" s="4" t="n">
        <v>0.005</v>
      </c>
    </row>
    <row r="56" ht="43.5" customHeight="1">
      <c r="A56" s="2" t="inlineStr">
        <is>
          <t>C055</t>
        </is>
      </c>
      <c r="B56" s="2" t="inlineStr">
        <is>
          <t>Chapter 3</t>
        </is>
      </c>
      <c r="C56" s="2" t="inlineStr">
        <is>
          <t>Rank recomputed among 188 economies</t>
        </is>
      </c>
      <c r="D56" s="2" t="inlineStr">
        <is>
          <t>Table 9</t>
        </is>
      </c>
      <c r="E56" s="2" t="inlineStr">
        <is>
          <t>Georgia — rank</t>
        </is>
      </c>
      <c r="F56" s="3" t="n">
        <v>2024</v>
      </c>
      <c r="G56" s="4" t="n">
        <v>32</v>
      </c>
      <c r="H56" s="2" t="inlineStr">
        <is>
          <t>03_output_data/SPI_index.csv</t>
        </is>
      </c>
      <c r="I56" s="2" t="inlineStr">
        <is>
          <t>rank(desc SPI.INDEX)</t>
        </is>
      </c>
      <c r="J56" s="4" t="n">
        <v>32</v>
      </c>
      <c r="K56" s="2" t="inlineStr">
        <is>
          <t>integer</t>
        </is>
      </c>
      <c r="L56" s="4">
        <f>IF(OR(G56="",J56=""),"",G56-J56)</f>
        <v/>
      </c>
      <c r="M56" s="2">
        <f>IF(AND(ISNUMBER(G56),ISNUMBER(J56)),IF(ABS(G56-J56)&lt;=Q56,"PASS","CHECK"),"N/A")</f>
        <v/>
      </c>
      <c r="N56" s="2" t="inlineStr">
        <is>
          <t>2dd02f746cb4e2159281adc74d6865f948e90ce1</t>
        </is>
      </c>
      <c r="O56" s="2" t="inlineStr">
        <is>
          <t>https://raw.githubusercontent.com/worldbank/SPI/2dd02f746cb4e2159281adc74d6865f948e90ce1/03_output_data/SPI_index.csv</t>
        </is>
      </c>
      <c r="P56" s="2" t="inlineStr">
        <is>
          <t>Rank recomputed among the 188 economies with a non-missing SPI.INDEX value in 2024.</t>
        </is>
      </c>
      <c r="Q56" s="4" t="n">
        <v>0</v>
      </c>
    </row>
    <row r="57" ht="43.5" customHeight="1">
      <c r="A57" s="2" t="inlineStr">
        <is>
          <t>C056</t>
        </is>
      </c>
      <c r="B57" s="2" t="inlineStr">
        <is>
          <t>Chapter 3</t>
        </is>
      </c>
      <c r="C57" s="2" t="inlineStr">
        <is>
          <t>2024 international comparison</t>
        </is>
      </c>
      <c r="D57" s="2" t="inlineStr">
        <is>
          <t>Table 9</t>
        </is>
      </c>
      <c r="E57" s="2" t="inlineStr">
        <is>
          <t>Moldova — overall SPI</t>
        </is>
      </c>
      <c r="F57" s="3" t="n">
        <v>2024</v>
      </c>
      <c r="G57" s="4" t="n">
        <v>85.67</v>
      </c>
      <c r="H57" s="2" t="inlineStr">
        <is>
          <t>03_output_data/SPI_index.csv</t>
        </is>
      </c>
      <c r="I57" s="2" t="inlineStr">
        <is>
          <t>SPI.INDEX</t>
        </is>
      </c>
      <c r="J57" s="4" t="n">
        <v>85.67</v>
      </c>
      <c r="K57" s="2" t="inlineStr">
        <is>
          <t>2 decimals</t>
        </is>
      </c>
      <c r="L57" s="4">
        <f>IF(OR(G57="",J57=""),"",G57-J57)</f>
        <v/>
      </c>
      <c r="M57" s="2">
        <f>IF(AND(ISNUMBER(G57),ISNUMBER(J57)),IF(ABS(G57-J57)&lt;=Q57,"PASS","CHECK"),"N/A")</f>
        <v/>
      </c>
      <c r="N57" s="2" t="inlineStr">
        <is>
          <t>2dd02f746cb4e2159281adc74d6865f948e90ce1</t>
        </is>
      </c>
      <c r="O57" s="2" t="inlineStr">
        <is>
          <t>https://raw.githubusercontent.com/worldbank/SPI/2dd02f746cb4e2159281adc74d6865f948e90ce1/03_output_data/SPI_index.csv</t>
        </is>
      </c>
      <c r="P57" s="2" t="n"/>
      <c r="Q57" s="4" t="n">
        <v>0.005</v>
      </c>
    </row>
    <row r="58" ht="43.5" customHeight="1">
      <c r="A58" s="2" t="inlineStr">
        <is>
          <t>C057</t>
        </is>
      </c>
      <c r="B58" s="2" t="inlineStr">
        <is>
          <t>Chapter 3</t>
        </is>
      </c>
      <c r="C58" s="2" t="inlineStr">
        <is>
          <t>Rank recomputed among 188 economies</t>
        </is>
      </c>
      <c r="D58" s="2" t="inlineStr">
        <is>
          <t>Table 9</t>
        </is>
      </c>
      <c r="E58" s="2" t="inlineStr">
        <is>
          <t>Moldova — rank</t>
        </is>
      </c>
      <c r="F58" s="3" t="n">
        <v>2024</v>
      </c>
      <c r="G58" s="4" t="n">
        <v>38</v>
      </c>
      <c r="H58" s="2" t="inlineStr">
        <is>
          <t>03_output_data/SPI_index.csv</t>
        </is>
      </c>
      <c r="I58" s="2" t="inlineStr">
        <is>
          <t>rank(desc SPI.INDEX)</t>
        </is>
      </c>
      <c r="J58" s="4" t="n">
        <v>38</v>
      </c>
      <c r="K58" s="2" t="inlineStr">
        <is>
          <t>integer</t>
        </is>
      </c>
      <c r="L58" s="4">
        <f>IF(OR(G58="",J58=""),"",G58-J58)</f>
        <v/>
      </c>
      <c r="M58" s="2">
        <f>IF(AND(ISNUMBER(G58),ISNUMBER(J58)),IF(ABS(G58-J58)&lt;=Q58,"PASS","CHECK"),"N/A")</f>
        <v/>
      </c>
      <c r="N58" s="2" t="inlineStr">
        <is>
          <t>2dd02f746cb4e2159281adc74d6865f948e90ce1</t>
        </is>
      </c>
      <c r="O58" s="2" t="inlineStr">
        <is>
          <t>https://raw.githubusercontent.com/worldbank/SPI/2dd02f746cb4e2159281adc74d6865f948e90ce1/03_output_data/SPI_index.csv</t>
        </is>
      </c>
      <c r="P58" s="2" t="inlineStr">
        <is>
          <t>Rank recomputed among the 188 economies with a non-missing SPI.INDEX value in 2024.</t>
        </is>
      </c>
      <c r="Q58" s="4" t="n">
        <v>0</v>
      </c>
    </row>
    <row r="59" ht="43.5" customHeight="1">
      <c r="A59" s="2" t="inlineStr">
        <is>
          <t>C058</t>
        </is>
      </c>
      <c r="B59" s="2" t="inlineStr">
        <is>
          <t>Chapter 3</t>
        </is>
      </c>
      <c r="C59" s="2" t="inlineStr">
        <is>
          <t>2024 international comparison</t>
        </is>
      </c>
      <c r="D59" s="2" t="inlineStr">
        <is>
          <t>Table 9</t>
        </is>
      </c>
      <c r="E59" s="2" t="inlineStr">
        <is>
          <t>Kazakhstan — overall SPI</t>
        </is>
      </c>
      <c r="F59" s="3" t="n">
        <v>2024</v>
      </c>
      <c r="G59" s="4" t="n">
        <v>84.89</v>
      </c>
      <c r="H59" s="2" t="inlineStr">
        <is>
          <t>03_output_data/SPI_index.csv</t>
        </is>
      </c>
      <c r="I59" s="2" t="inlineStr">
        <is>
          <t>SPI.INDEX</t>
        </is>
      </c>
      <c r="J59" s="4" t="n">
        <v>84.89</v>
      </c>
      <c r="K59" s="2" t="inlineStr">
        <is>
          <t>2 decimals</t>
        </is>
      </c>
      <c r="L59" s="4">
        <f>IF(OR(G59="",J59=""),"",G59-J59)</f>
        <v/>
      </c>
      <c r="M59" s="2">
        <f>IF(AND(ISNUMBER(G59),ISNUMBER(J59)),IF(ABS(G59-J59)&lt;=Q59,"PASS","CHECK"),"N/A")</f>
        <v/>
      </c>
      <c r="N59" s="2" t="inlineStr">
        <is>
          <t>2dd02f746cb4e2159281adc74d6865f948e90ce1</t>
        </is>
      </c>
      <c r="O59" s="2" t="inlineStr">
        <is>
          <t>https://raw.githubusercontent.com/worldbank/SPI/2dd02f746cb4e2159281adc74d6865f948e90ce1/03_output_data/SPI_index.csv</t>
        </is>
      </c>
      <c r="P59" s="2" t="n"/>
      <c r="Q59" s="4" t="n">
        <v>0.005</v>
      </c>
    </row>
    <row r="60" ht="43.5" customHeight="1">
      <c r="A60" s="2" t="inlineStr">
        <is>
          <t>C059</t>
        </is>
      </c>
      <c r="B60" s="2" t="inlineStr">
        <is>
          <t>Chapter 3</t>
        </is>
      </c>
      <c r="C60" s="2" t="inlineStr">
        <is>
          <t>Rank recomputed among 188 economies</t>
        </is>
      </c>
      <c r="D60" s="2" t="inlineStr">
        <is>
          <t>Table 9</t>
        </is>
      </c>
      <c r="E60" s="2" t="inlineStr">
        <is>
          <t>Kazakhstan — rank</t>
        </is>
      </c>
      <c r="F60" s="3" t="n">
        <v>2024</v>
      </c>
      <c r="G60" s="4" t="n">
        <v>44</v>
      </c>
      <c r="H60" s="2" t="inlineStr">
        <is>
          <t>03_output_data/SPI_index.csv</t>
        </is>
      </c>
      <c r="I60" s="2" t="inlineStr">
        <is>
          <t>rank(desc SPI.INDEX)</t>
        </is>
      </c>
      <c r="J60" s="4" t="n">
        <v>44</v>
      </c>
      <c r="K60" s="2" t="inlineStr">
        <is>
          <t>integer</t>
        </is>
      </c>
      <c r="L60" s="4">
        <f>IF(OR(G60="",J60=""),"",G60-J60)</f>
        <v/>
      </c>
      <c r="M60" s="2">
        <f>IF(AND(ISNUMBER(G60),ISNUMBER(J60)),IF(ABS(G60-J60)&lt;=Q60,"PASS","CHECK"),"N/A")</f>
        <v/>
      </c>
      <c r="N60" s="2" t="inlineStr">
        <is>
          <t>2dd02f746cb4e2159281adc74d6865f948e90ce1</t>
        </is>
      </c>
      <c r="O60" s="2" t="inlineStr">
        <is>
          <t>https://raw.githubusercontent.com/worldbank/SPI/2dd02f746cb4e2159281adc74d6865f948e90ce1/03_output_data/SPI_index.csv</t>
        </is>
      </c>
      <c r="P60" s="2" t="inlineStr">
        <is>
          <t>Rank recomputed among the 188 economies with a non-missing SPI.INDEX value in 2024.</t>
        </is>
      </c>
      <c r="Q60" s="4" t="n">
        <v>0</v>
      </c>
    </row>
    <row r="61" ht="43.5" customHeight="1">
      <c r="A61" s="2" t="inlineStr">
        <is>
          <t>C060</t>
        </is>
      </c>
      <c r="B61" s="2" t="inlineStr">
        <is>
          <t>Chapter 3</t>
        </is>
      </c>
      <c r="C61" s="2" t="inlineStr">
        <is>
          <t>2024 international comparison</t>
        </is>
      </c>
      <c r="D61" s="2" t="inlineStr">
        <is>
          <t>Table 9</t>
        </is>
      </c>
      <c r="E61" s="2" t="inlineStr">
        <is>
          <t>Armenia — overall SPI</t>
        </is>
      </c>
      <c r="F61" s="3" t="n">
        <v>2024</v>
      </c>
      <c r="G61" s="4" t="n">
        <v>82.18000000000001</v>
      </c>
      <c r="H61" s="2" t="inlineStr">
        <is>
          <t>03_output_data/SPI_index.csv</t>
        </is>
      </c>
      <c r="I61" s="2" t="inlineStr">
        <is>
          <t>SPI.INDEX</t>
        </is>
      </c>
      <c r="J61" s="4" t="n">
        <v>82.18000000000001</v>
      </c>
      <c r="K61" s="2" t="inlineStr">
        <is>
          <t>2 decimals</t>
        </is>
      </c>
      <c r="L61" s="4">
        <f>IF(OR(G61="",J61=""),"",G61-J61)</f>
        <v/>
      </c>
      <c r="M61" s="2">
        <f>IF(AND(ISNUMBER(G61),ISNUMBER(J61)),IF(ABS(G61-J61)&lt;=Q61,"PASS","CHECK"),"N/A")</f>
        <v/>
      </c>
      <c r="N61" s="2" t="inlineStr">
        <is>
          <t>2dd02f746cb4e2159281adc74d6865f948e90ce1</t>
        </is>
      </c>
      <c r="O61" s="2" t="inlineStr">
        <is>
          <t>https://raw.githubusercontent.com/worldbank/SPI/2dd02f746cb4e2159281adc74d6865f948e90ce1/03_output_data/SPI_index.csv</t>
        </is>
      </c>
      <c r="P61" s="2" t="n"/>
      <c r="Q61" s="4" t="n">
        <v>0.005</v>
      </c>
    </row>
    <row r="62" ht="43.5" customHeight="1">
      <c r="A62" s="2" t="inlineStr">
        <is>
          <t>C061</t>
        </is>
      </c>
      <c r="B62" s="2" t="inlineStr">
        <is>
          <t>Chapter 3</t>
        </is>
      </c>
      <c r="C62" s="2" t="inlineStr">
        <is>
          <t>Rank recomputed among 188 economies</t>
        </is>
      </c>
      <c r="D62" s="2" t="inlineStr">
        <is>
          <t>Table 9</t>
        </is>
      </c>
      <c r="E62" s="2" t="inlineStr">
        <is>
          <t>Armenia — rank</t>
        </is>
      </c>
      <c r="F62" s="3" t="n">
        <v>2024</v>
      </c>
      <c r="G62" s="4" t="n">
        <v>55</v>
      </c>
      <c r="H62" s="2" t="inlineStr">
        <is>
          <t>03_output_data/SPI_index.csv</t>
        </is>
      </c>
      <c r="I62" s="2" t="inlineStr">
        <is>
          <t>rank(desc SPI.INDEX)</t>
        </is>
      </c>
      <c r="J62" s="4" t="n">
        <v>55</v>
      </c>
      <c r="K62" s="2" t="inlineStr">
        <is>
          <t>integer</t>
        </is>
      </c>
      <c r="L62" s="4">
        <f>IF(OR(G62="",J62=""),"",G62-J62)</f>
        <v/>
      </c>
      <c r="M62" s="2">
        <f>IF(AND(ISNUMBER(G62),ISNUMBER(J62)),IF(ABS(G62-J62)&lt;=Q62,"PASS","CHECK"),"N/A")</f>
        <v/>
      </c>
      <c r="N62" s="2" t="inlineStr">
        <is>
          <t>2dd02f746cb4e2159281adc74d6865f948e90ce1</t>
        </is>
      </c>
      <c r="O62" s="2" t="inlineStr">
        <is>
          <t>https://raw.githubusercontent.com/worldbank/SPI/2dd02f746cb4e2159281adc74d6865f948e90ce1/03_output_data/SPI_index.csv</t>
        </is>
      </c>
      <c r="P62" s="2" t="inlineStr">
        <is>
          <t>Rank recomputed among the 188 economies with a non-missing SPI.INDEX value in 2024.</t>
        </is>
      </c>
      <c r="Q62" s="4" t="n">
        <v>0</v>
      </c>
    </row>
    <row r="63" ht="43.5" customHeight="1">
      <c r="A63" s="2" t="inlineStr">
        <is>
          <t>C062</t>
        </is>
      </c>
      <c r="B63" s="2" t="inlineStr">
        <is>
          <t>Chapter 3</t>
        </is>
      </c>
      <c r="C63" s="2" t="inlineStr">
        <is>
          <t>2024 international comparison</t>
        </is>
      </c>
      <c r="D63" s="2" t="inlineStr">
        <is>
          <t>Table 9</t>
        </is>
      </c>
      <c r="E63" s="2" t="inlineStr">
        <is>
          <t>Uzbekistan — overall SPI</t>
        </is>
      </c>
      <c r="F63" s="3" t="n">
        <v>2024</v>
      </c>
      <c r="G63" s="4" t="n">
        <v>81.48999999999999</v>
      </c>
      <c r="H63" s="2" t="inlineStr">
        <is>
          <t>03_output_data/SPI_index.csv</t>
        </is>
      </c>
      <c r="I63" s="2" t="inlineStr">
        <is>
          <t>SPI.INDEX</t>
        </is>
      </c>
      <c r="J63" s="4" t="n">
        <v>81.48999999999999</v>
      </c>
      <c r="K63" s="2" t="inlineStr">
        <is>
          <t>2 decimals</t>
        </is>
      </c>
      <c r="L63" s="4">
        <f>IF(OR(G63="",J63=""),"",G63-J63)</f>
        <v/>
      </c>
      <c r="M63" s="2">
        <f>IF(AND(ISNUMBER(G63),ISNUMBER(J63)),IF(ABS(G63-J63)&lt;=Q63,"PASS","CHECK"),"N/A")</f>
        <v/>
      </c>
      <c r="N63" s="2" t="inlineStr">
        <is>
          <t>2dd02f746cb4e2159281adc74d6865f948e90ce1</t>
        </is>
      </c>
      <c r="O63" s="2" t="inlineStr">
        <is>
          <t>https://raw.githubusercontent.com/worldbank/SPI/2dd02f746cb4e2159281adc74d6865f948e90ce1/03_output_data/SPI_index.csv</t>
        </is>
      </c>
      <c r="P63" s="2" t="n"/>
      <c r="Q63" s="4" t="n">
        <v>0.005</v>
      </c>
    </row>
    <row r="64" ht="43.5" customHeight="1">
      <c r="A64" s="2" t="inlineStr">
        <is>
          <t>C063</t>
        </is>
      </c>
      <c r="B64" s="2" t="inlineStr">
        <is>
          <t>Chapter 3</t>
        </is>
      </c>
      <c r="C64" s="2" t="inlineStr">
        <is>
          <t>Rank recomputed among 188 economies</t>
        </is>
      </c>
      <c r="D64" s="2" t="inlineStr">
        <is>
          <t>Table 9</t>
        </is>
      </c>
      <c r="E64" s="2" t="inlineStr">
        <is>
          <t>Uzbekistan — rank</t>
        </is>
      </c>
      <c r="F64" s="3" t="n">
        <v>2024</v>
      </c>
      <c r="G64" s="4" t="n">
        <v>58</v>
      </c>
      <c r="H64" s="2" t="inlineStr">
        <is>
          <t>03_output_data/SPI_index.csv</t>
        </is>
      </c>
      <c r="I64" s="2" t="inlineStr">
        <is>
          <t>rank(desc SPI.INDEX)</t>
        </is>
      </c>
      <c r="J64" s="4" t="n">
        <v>58</v>
      </c>
      <c r="K64" s="2" t="inlineStr">
        <is>
          <t>integer</t>
        </is>
      </c>
      <c r="L64" s="4">
        <f>IF(OR(G64="",J64=""),"",G64-J64)</f>
        <v/>
      </c>
      <c r="M64" s="2">
        <f>IF(AND(ISNUMBER(G64),ISNUMBER(J64)),IF(ABS(G64-J64)&lt;=Q64,"PASS","CHECK"),"N/A")</f>
        <v/>
      </c>
      <c r="N64" s="2" t="inlineStr">
        <is>
          <t>2dd02f746cb4e2159281adc74d6865f948e90ce1</t>
        </is>
      </c>
      <c r="O64" s="2" t="inlineStr">
        <is>
          <t>https://raw.githubusercontent.com/worldbank/SPI/2dd02f746cb4e2159281adc74d6865f948e90ce1/03_output_data/SPI_index.csv</t>
        </is>
      </c>
      <c r="P64" s="2" t="inlineStr">
        <is>
          <t>Rank recomputed among the 188 economies with a non-missing SPI.INDEX value in 2024.</t>
        </is>
      </c>
      <c r="Q64" s="4" t="n">
        <v>0</v>
      </c>
    </row>
    <row r="65" ht="43.5" customHeight="1">
      <c r="A65" s="2" t="inlineStr">
        <is>
          <t>C064</t>
        </is>
      </c>
      <c r="B65" s="2" t="inlineStr">
        <is>
          <t>8.5</t>
        </is>
      </c>
      <c r="C65" s="2" t="inlineStr">
        <is>
          <t>Conditional scenario</t>
        </is>
      </c>
      <c r="D65" s="2" t="inlineStr">
        <is>
          <t>Table 14</t>
        </is>
      </c>
      <c r="E65" s="2" t="inlineStr">
        <is>
          <t>Baseline</t>
        </is>
      </c>
      <c r="F65" s="3" t="n">
        <v>2024</v>
      </c>
      <c r="G65" s="4" t="n">
        <v>81.48999999999999</v>
      </c>
      <c r="H65" s="2" t="inlineStr">
        <is>
          <t>Author recalculation</t>
        </is>
      </c>
      <c r="I65" s="2" t="inlineStr">
        <is>
          <t>SPI aggregation formulas</t>
        </is>
      </c>
      <c r="J65" s="4" t="n">
        <v>81.49083330000001</v>
      </c>
      <c r="K65" s="2" t="inlineStr">
        <is>
          <t>2 decimals</t>
        </is>
      </c>
      <c r="L65" s="4">
        <f>IF(OR(G65="",J65=""),"",G65-J65)</f>
        <v/>
      </c>
      <c r="M65" s="2">
        <f>IF(AND(ISNUMBER(G65),ISNUMBER(J65)),IF(ABS(G65-J65)&lt;=Q65,"PASS","CHECK"),"N/A")</f>
        <v/>
      </c>
      <c r="N65" s="2" t="inlineStr">
        <is>
          <t>2dd02f746cb4e2159281adc74d6865f948e90ce1</t>
        </is>
      </c>
      <c r="O65" s="2" t="inlineStr">
        <is>
          <t>https://raw.githubusercontent.com/worldbank/SPI/2dd02f746cb4e2159281adc74d6865f948e90ce1/02_programs/02-SPI_index.Rmd</t>
        </is>
      </c>
      <c r="P65" s="2" t="inlineStr">
        <is>
          <t>Not an official forecast; based on the 2024 baseline value and conditional effects.</t>
        </is>
      </c>
      <c r="Q65" s="4" t="n">
        <v>0.005</v>
      </c>
    </row>
    <row r="66" ht="43.5" customHeight="1">
      <c r="A66" s="2" t="inlineStr">
        <is>
          <t>C065</t>
        </is>
      </c>
      <c r="B66" s="2" t="inlineStr">
        <is>
          <t>8.5</t>
        </is>
      </c>
      <c r="C66" s="2" t="inlineStr">
        <is>
          <t>Conditional scenario</t>
        </is>
      </c>
      <c r="D66" s="2" t="inlineStr">
        <is>
          <t>Table 14</t>
        </is>
      </c>
      <c r="E66" s="2" t="inlineStr">
        <is>
          <t>Conservative scenario</t>
        </is>
      </c>
      <c r="F66" s="3" t="n">
        <v>2024</v>
      </c>
      <c r="G66" s="4" t="n">
        <v>84.48999999999999</v>
      </c>
      <c r="H66" s="2" t="inlineStr">
        <is>
          <t>Author recalculation</t>
        </is>
      </c>
      <c r="I66" s="2" t="inlineStr">
        <is>
          <t>SPI aggregation formulas</t>
        </is>
      </c>
      <c r="J66" s="4" t="n">
        <v>84.4875</v>
      </c>
      <c r="K66" s="2" t="inlineStr">
        <is>
          <t>2 decimals</t>
        </is>
      </c>
      <c r="L66" s="4">
        <f>IF(OR(G66="",J66=""),"",G66-J66)</f>
        <v/>
      </c>
      <c r="M66" s="2">
        <f>IF(AND(ISNUMBER(G66),ISNUMBER(J66)),IF(ABS(G66-J66)&lt;=Q66,"PASS","CHECK"),"N/A")</f>
        <v/>
      </c>
      <c r="N66" s="2" t="inlineStr">
        <is>
          <t>2dd02f746cb4e2159281adc74d6865f948e90ce1</t>
        </is>
      </c>
      <c r="O66" s="2" t="inlineStr">
        <is>
          <t>https://raw.githubusercontent.com/worldbank/SPI/2dd02f746cb4e2159281adc74d6865f948e90ce1/02_programs/02-SPI_index.Rmd</t>
        </is>
      </c>
      <c r="P66" s="2" t="inlineStr">
        <is>
          <t>Not an official forecast; based on the 2024 baseline value and conditional effects.</t>
        </is>
      </c>
      <c r="Q66" s="4" t="n">
        <v>0.005</v>
      </c>
    </row>
    <row r="67" ht="43.5" customHeight="1">
      <c r="A67" s="2" t="inlineStr">
        <is>
          <t>C066</t>
        </is>
      </c>
      <c r="B67" s="2" t="inlineStr">
        <is>
          <t>8.5</t>
        </is>
      </c>
      <c r="C67" s="2" t="inlineStr">
        <is>
          <t>Conditional scenario</t>
        </is>
      </c>
      <c r="D67" s="2" t="inlineStr">
        <is>
          <t>Table 14</t>
        </is>
      </c>
      <c r="E67" s="2" t="inlineStr">
        <is>
          <t>Main scenario</t>
        </is>
      </c>
      <c r="F67" s="3" t="n">
        <v>2024</v>
      </c>
      <c r="G67" s="4" t="n">
        <v>87.81999999999999</v>
      </c>
      <c r="H67" s="2" t="inlineStr">
        <is>
          <t>Author recalculation</t>
        </is>
      </c>
      <c r="I67" s="2" t="inlineStr">
        <is>
          <t>SPI aggregation formulas</t>
        </is>
      </c>
      <c r="J67" s="4" t="n">
        <v>87.8208333</v>
      </c>
      <c r="K67" s="2" t="inlineStr">
        <is>
          <t>2 decimals</t>
        </is>
      </c>
      <c r="L67" s="4">
        <f>IF(OR(G67="",J67=""),"",G67-J67)</f>
        <v/>
      </c>
      <c r="M67" s="2">
        <f>IF(AND(ISNUMBER(G67),ISNUMBER(J67)),IF(ABS(G67-J67)&lt;=Q67,"PASS","CHECK"),"N/A")</f>
        <v/>
      </c>
      <c r="N67" s="2" t="inlineStr">
        <is>
          <t>2dd02f746cb4e2159281adc74d6865f948e90ce1</t>
        </is>
      </c>
      <c r="O67" s="2" t="inlineStr">
        <is>
          <t>https://raw.githubusercontent.com/worldbank/SPI/2dd02f746cb4e2159281adc74d6865f948e90ce1/02_programs/02-SPI_index.Rmd</t>
        </is>
      </c>
      <c r="P67" s="2" t="inlineStr">
        <is>
          <t>Not an official forecast; based on the 2024 baseline value and conditional effects.</t>
        </is>
      </c>
      <c r="Q67" s="4" t="n">
        <v>0.005</v>
      </c>
    </row>
    <row r="68" ht="43.5" customHeight="1">
      <c r="A68" s="2" t="inlineStr">
        <is>
          <t>C067</t>
        </is>
      </c>
      <c r="B68" s="2" t="inlineStr">
        <is>
          <t>8.5</t>
        </is>
      </c>
      <c r="C68" s="2" t="inlineStr">
        <is>
          <t>Conditional scenario</t>
        </is>
      </c>
      <c r="D68" s="2" t="inlineStr">
        <is>
          <t>Table 14</t>
        </is>
      </c>
      <c r="E68" s="2" t="inlineStr">
        <is>
          <t>Extended scenario</t>
        </is>
      </c>
      <c r="F68" s="3" t="n">
        <v>2024</v>
      </c>
      <c r="G68" s="4" t="n">
        <v>89.84999999999999</v>
      </c>
      <c r="H68" s="2" t="inlineStr">
        <is>
          <t>Author recalculation</t>
        </is>
      </c>
      <c r="I68" s="2" t="inlineStr">
        <is>
          <t>SPI aggregation formulas</t>
        </is>
      </c>
      <c r="J68" s="4" t="n">
        <v>89.8458333</v>
      </c>
      <c r="K68" s="2" t="inlineStr">
        <is>
          <t>2 decimals</t>
        </is>
      </c>
      <c r="L68" s="4">
        <f>IF(OR(G68="",J68=""),"",G68-J68)</f>
        <v/>
      </c>
      <c r="M68" s="2">
        <f>IF(AND(ISNUMBER(G68),ISNUMBER(J68)),IF(ABS(G68-J68)&lt;=Q68,"PASS","CHECK"),"N/A")</f>
        <v/>
      </c>
      <c r="N68" s="2" t="inlineStr">
        <is>
          <t>2dd02f746cb4e2159281adc74d6865f948e90ce1</t>
        </is>
      </c>
      <c r="O68" s="2" t="inlineStr">
        <is>
          <t>https://raw.githubusercontent.com/worldbank/SPI/2dd02f746cb4e2159281adc74d6865f948e90ce1/02_programs/02-SPI_index.Rmd</t>
        </is>
      </c>
      <c r="P68" s="2" t="inlineStr">
        <is>
          <t>Not an official forecast; based on the 2024 baseline value and conditional effects.</t>
        </is>
      </c>
      <c r="Q68" s="4" t="n">
        <v>0.005</v>
      </c>
    </row>
  </sheetData>
  <conditionalFormatting sqref="M2:M68">
    <cfRule type="expression" priority="1" dxfId="6">
      <formula>M2="PASS"</formula>
    </cfRule>
    <cfRule type="expression" priority="2" dxfId="0">
      <formula>M2="CHECK"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25"/>
  <cols>
    <col width="33" customWidth="1" min="1" max="1"/>
    <col width="15" customWidth="1" min="2" max="5"/>
  </cols>
  <sheetData>
    <row r="1" ht="30" customHeight="1">
      <c r="A1" s="1" t="inlineStr">
        <is>
          <t>Pillar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Change</t>
        </is>
      </c>
      <c r="E1" s="1" t="inlineStr">
        <is>
          <t>Contribution to overall SPI</t>
        </is>
      </c>
    </row>
    <row r="2">
      <c r="A2" s="2" t="inlineStr">
        <is>
          <t>P1 — Data Use</t>
        </is>
      </c>
      <c r="B2" s="6" t="n">
        <v>90</v>
      </c>
      <c r="C2" s="6" t="n">
        <v>90</v>
      </c>
      <c r="D2" s="6" t="n">
        <v>0</v>
      </c>
      <c r="E2" s="6" t="n">
        <v>0</v>
      </c>
    </row>
    <row r="3">
      <c r="A3" s="2" t="inlineStr">
        <is>
          <t>P2 — Data Services</t>
        </is>
      </c>
      <c r="B3" s="6" t="n">
        <v>76.6333333</v>
      </c>
      <c r="C3" s="6" t="n">
        <v>79.1333333</v>
      </c>
      <c r="D3" s="6" t="n">
        <v>2.5</v>
      </c>
      <c r="E3" s="6" t="n">
        <v>0.5</v>
      </c>
    </row>
    <row r="4">
      <c r="A4" s="2" t="inlineStr">
        <is>
          <t>P3 — Data Products</t>
        </is>
      </c>
      <c r="B4" s="6" t="n">
        <v>85.04375</v>
      </c>
      <c r="C4" s="6" t="n">
        <v>80.1125</v>
      </c>
      <c r="D4" s="6" t="n">
        <v>-4.93125</v>
      </c>
      <c r="E4" s="6" t="n">
        <v>-0.98625</v>
      </c>
    </row>
    <row r="5">
      <c r="A5" s="2" t="inlineStr">
        <is>
          <t>P4 — Data Sources</t>
        </is>
      </c>
      <c r="B5" s="6" t="n">
        <v>63.2833333</v>
      </c>
      <c r="C5" s="6" t="n">
        <v>68.20833330000001</v>
      </c>
      <c r="D5" s="6" t="n">
        <v>4.925</v>
      </c>
      <c r="E5" s="6" t="n">
        <v>0.985</v>
      </c>
    </row>
    <row r="6">
      <c r="A6" s="2" t="inlineStr">
        <is>
          <t>P5 — Data Infrastructure</t>
        </is>
      </c>
      <c r="B6" s="6" t="n">
        <v>95</v>
      </c>
      <c r="C6" s="6" t="n">
        <v>90</v>
      </c>
      <c r="D6" s="6" t="n">
        <v>-5</v>
      </c>
      <c r="E6" s="6" t="n">
        <v>-1</v>
      </c>
    </row>
    <row r="7">
      <c r="A7" s="2" t="inlineStr">
        <is>
          <t>Overall SPI</t>
        </is>
      </c>
      <c r="B7" s="6" t="n">
        <v>81.9920833</v>
      </c>
      <c r="C7" s="6" t="n">
        <v>81.49083330000001</v>
      </c>
      <c r="D7" s="6" t="n">
        <v>-0.50125</v>
      </c>
      <c r="E7" s="6" t="n">
        <v>-0.50125</v>
      </c>
    </row>
  </sheetData>
  <conditionalFormatting sqref="D2:D7">
    <cfRule type="expression" priority="1" dxfId="2">
      <formula>D2&lt;0</formula>
    </cfRule>
    <cfRule type="expression" priority="2" dxfId="1">
      <formula>D2&gt;0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25"/>
  <cols>
    <col width="10" customWidth="1" min="1" max="1"/>
    <col width="14" customWidth="1" min="2" max="7"/>
  </cols>
  <sheetData>
    <row r="1" ht="15" customHeight="1">
      <c r="A1" s="1" t="inlineStr">
        <is>
          <t>Year</t>
        </is>
      </c>
      <c r="B1" s="1" t="inlineStr">
        <is>
          <t>Overall SPI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</row>
    <row r="2">
      <c r="A2" t="n">
        <v>2016</v>
      </c>
      <c r="B2" s="5" t="n">
        <v>37.7</v>
      </c>
      <c r="C2" s="5" t="n">
        <v>60</v>
      </c>
      <c r="D2" s="5" t="n">
        <v>4.1</v>
      </c>
      <c r="E2" s="5" t="n">
        <v>48.3</v>
      </c>
      <c r="F2" s="5" t="n">
        <v>36.2</v>
      </c>
      <c r="G2" s="5" t="n">
        <v>40</v>
      </c>
    </row>
    <row r="3">
      <c r="A3" t="n">
        <v>2018</v>
      </c>
      <c r="B3" s="5" t="n">
        <v>50.5</v>
      </c>
      <c r="C3" s="5" t="n">
        <v>60</v>
      </c>
      <c r="D3" s="5" t="n">
        <v>39.3</v>
      </c>
      <c r="E3" s="5" t="n">
        <v>50</v>
      </c>
      <c r="F3" s="5" t="n">
        <v>38.4</v>
      </c>
      <c r="G3" s="5" t="n">
        <v>65</v>
      </c>
    </row>
    <row r="4">
      <c r="A4" t="n">
        <v>2020</v>
      </c>
      <c r="B4" s="5" t="n">
        <v>67.8</v>
      </c>
      <c r="C4" s="5" t="n">
        <v>70</v>
      </c>
      <c r="D4" s="5" t="n">
        <v>74.09999999999999</v>
      </c>
      <c r="E4" s="5" t="n">
        <v>69.09999999999999</v>
      </c>
      <c r="F4" s="5" t="n">
        <v>45.9</v>
      </c>
      <c r="G4" s="5" t="n">
        <v>80</v>
      </c>
    </row>
    <row r="5">
      <c r="A5" t="n">
        <v>2021</v>
      </c>
      <c r="B5" s="5" t="n">
        <v>71.09999999999999</v>
      </c>
      <c r="C5" s="5" t="n">
        <v>70</v>
      </c>
      <c r="D5" s="5" t="n">
        <v>74.09999999999999</v>
      </c>
      <c r="E5" s="5" t="n">
        <v>78.7</v>
      </c>
      <c r="F5" s="5" t="n">
        <v>57.5</v>
      </c>
      <c r="G5" s="5" t="n">
        <v>75</v>
      </c>
    </row>
    <row r="6">
      <c r="A6" t="n">
        <v>2022</v>
      </c>
      <c r="B6" s="5" t="n">
        <v>75.8</v>
      </c>
      <c r="C6" s="5" t="n">
        <v>90</v>
      </c>
      <c r="D6" s="5" t="n">
        <v>76.59999999999999</v>
      </c>
      <c r="E6" s="5" t="n">
        <v>75.7</v>
      </c>
      <c r="F6" s="5" t="n">
        <v>61.6</v>
      </c>
      <c r="G6" s="5" t="n">
        <v>75</v>
      </c>
    </row>
    <row r="7">
      <c r="A7" t="n">
        <v>2023</v>
      </c>
      <c r="B7" s="5" t="n">
        <v>81.9920833</v>
      </c>
      <c r="C7" s="5" t="n">
        <v>90</v>
      </c>
      <c r="D7" s="5" t="n">
        <v>76.6333333</v>
      </c>
      <c r="E7" s="5" t="n">
        <v>85.04375</v>
      </c>
      <c r="F7" s="5" t="n">
        <v>63.2833333</v>
      </c>
      <c r="G7" s="5" t="n">
        <v>95</v>
      </c>
    </row>
    <row r="8">
      <c r="A8" t="n">
        <v>2024</v>
      </c>
      <c r="B8" s="5" t="n">
        <v>81.49083330000001</v>
      </c>
      <c r="C8" s="5" t="n">
        <v>90</v>
      </c>
      <c r="D8" s="5" t="n">
        <v>79.1333333</v>
      </c>
      <c r="E8" s="5" t="n">
        <v>80.1125</v>
      </c>
      <c r="F8" s="5" t="n">
        <v>68.20833330000001</v>
      </c>
      <c r="G8" s="5" t="n">
        <v>90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25"/>
  <cols>
    <col width="10" customWidth="1" min="1" max="1"/>
    <col width="20" customWidth="1" min="2" max="2"/>
    <col width="24" customWidth="1" min="3" max="3"/>
    <col width="14" customWidth="1" min="4" max="6"/>
  </cols>
  <sheetData>
    <row r="1" ht="15" customHeight="1">
      <c r="A1" s="1" t="inlineStr">
        <is>
          <t>SDG</t>
        </is>
      </c>
      <c r="B1" s="1" t="inlineStr">
        <is>
          <t>Name</t>
        </is>
      </c>
      <c r="C1" s="1" t="inlineStr">
        <is>
          <t>WB_variable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</row>
    <row r="2">
      <c r="A2" t="inlineStr">
        <is>
          <t>SDG 1</t>
        </is>
      </c>
      <c r="B2" t="inlineStr">
        <is>
          <t>Poverty</t>
        </is>
      </c>
      <c r="C2" t="inlineStr">
        <is>
          <t>SPI.D3.1.POV</t>
        </is>
      </c>
      <c r="D2" s="7" t="n">
        <v>1</v>
      </c>
      <c r="E2" s="7" t="n">
        <v>1</v>
      </c>
      <c r="F2" s="7" t="n">
        <v>0</v>
      </c>
    </row>
    <row r="3">
      <c r="A3" t="inlineStr">
        <is>
          <t>SDG 2</t>
        </is>
      </c>
      <c r="B3" t="inlineStr">
        <is>
          <t>Hunger</t>
        </is>
      </c>
      <c r="C3" t="inlineStr">
        <is>
          <t>SPI.D3.2.HNGR</t>
        </is>
      </c>
      <c r="D3" s="7" t="n">
        <v>0.7</v>
      </c>
      <c r="E3" s="7" t="n">
        <v>0.6</v>
      </c>
      <c r="F3" s="7" t="n">
        <v>-0.1</v>
      </c>
    </row>
    <row r="4">
      <c r="A4" t="inlineStr">
        <is>
          <t>SDG 3</t>
        </is>
      </c>
      <c r="B4" t="inlineStr">
        <is>
          <t>Health</t>
        </is>
      </c>
      <c r="C4" t="inlineStr">
        <is>
          <t>SPI.D3.3.HLTH</t>
        </is>
      </c>
      <c r="D4" s="7" t="n">
        <v>0.84</v>
      </c>
      <c r="E4" s="7" t="n">
        <v>0.76</v>
      </c>
      <c r="F4" s="7" t="n">
        <v>-0.08</v>
      </c>
    </row>
    <row r="5">
      <c r="A5" t="inlineStr">
        <is>
          <t>SDG 4</t>
        </is>
      </c>
      <c r="B5" t="inlineStr">
        <is>
          <t>Education</t>
        </is>
      </c>
      <c r="C5" t="inlineStr">
        <is>
          <t>SPI.D3.4.EDUC</t>
        </is>
      </c>
      <c r="D5" s="7" t="n">
        <v>1</v>
      </c>
      <c r="E5" s="7" t="n">
        <v>1</v>
      </c>
      <c r="F5" s="7" t="n">
        <v>0</v>
      </c>
    </row>
    <row r="6">
      <c r="A6" t="inlineStr">
        <is>
          <t>SDG 5</t>
        </is>
      </c>
      <c r="B6" t="inlineStr">
        <is>
          <t>Gender</t>
        </is>
      </c>
      <c r="C6" t="inlineStr">
        <is>
          <t>SPI.D3.5.GEND</t>
        </is>
      </c>
      <c r="D6" s="7" t="n">
        <v>0.5</v>
      </c>
      <c r="E6" s="7" t="n">
        <v>0.5</v>
      </c>
      <c r="F6" s="7" t="n">
        <v>0</v>
      </c>
    </row>
    <row r="7">
      <c r="A7" t="inlineStr">
        <is>
          <t>SDG 6</t>
        </is>
      </c>
      <c r="B7" t="inlineStr">
        <is>
          <t>Water</t>
        </is>
      </c>
      <c r="C7" t="inlineStr">
        <is>
          <t>SPI.D3.6.WTRS</t>
        </is>
      </c>
      <c r="D7" s="7" t="n">
        <v>1</v>
      </c>
      <c r="E7" s="7" t="n">
        <v>1</v>
      </c>
      <c r="F7" s="7" t="n">
        <v>0</v>
      </c>
    </row>
    <row r="8">
      <c r="A8" t="inlineStr">
        <is>
          <t>SDG 7</t>
        </is>
      </c>
      <c r="B8" t="inlineStr">
        <is>
          <t>Energy</t>
        </is>
      </c>
      <c r="C8" t="inlineStr">
        <is>
          <t>SPI.D3.7.ENRG</t>
        </is>
      </c>
      <c r="D8" s="7" t="n">
        <v>0.944</v>
      </c>
      <c r="E8" s="7" t="n">
        <v>0.944</v>
      </c>
      <c r="F8" s="7" t="n">
        <v>0</v>
      </c>
    </row>
    <row r="9">
      <c r="A9" t="inlineStr">
        <is>
          <t>SDG 8</t>
        </is>
      </c>
      <c r="B9" t="inlineStr">
        <is>
          <t>Work</t>
        </is>
      </c>
      <c r="C9" t="inlineStr">
        <is>
          <t>SPI.D3.8.WORK</t>
        </is>
      </c>
      <c r="D9" s="7" t="n">
        <v>0.75</v>
      </c>
      <c r="E9" s="7" t="n">
        <v>0.75</v>
      </c>
      <c r="F9" s="7" t="n">
        <v>0</v>
      </c>
    </row>
    <row r="10">
      <c r="A10" t="inlineStr">
        <is>
          <t>SDG 9</t>
        </is>
      </c>
      <c r="B10" t="inlineStr">
        <is>
          <t>Industry</t>
        </is>
      </c>
      <c r="C10" t="inlineStr">
        <is>
          <t>SPI.D3.9.INDY</t>
        </is>
      </c>
      <c r="D10" s="7" t="n">
        <v>1</v>
      </c>
      <c r="E10" s="7" t="n">
        <v>0.9</v>
      </c>
      <c r="F10" s="7" t="n">
        <v>-0.1</v>
      </c>
    </row>
    <row r="11">
      <c r="A11" t="inlineStr">
        <is>
          <t>SDG 10</t>
        </is>
      </c>
      <c r="B11" t="inlineStr">
        <is>
          <t>Inequality</t>
        </is>
      </c>
      <c r="C11" t="inlineStr">
        <is>
          <t>SPI.D3.10.INEQ</t>
        </is>
      </c>
      <c r="D11" s="7" t="n">
        <v>0.75</v>
      </c>
      <c r="E11" s="7" t="n">
        <v>0.75</v>
      </c>
      <c r="F11" s="7" t="n">
        <v>0</v>
      </c>
    </row>
    <row r="12">
      <c r="A12" t="inlineStr">
        <is>
          <t>SDG 11</t>
        </is>
      </c>
      <c r="B12" t="inlineStr">
        <is>
          <t>Cities</t>
        </is>
      </c>
      <c r="C12" t="inlineStr">
        <is>
          <t>SPI.D3.11.CITY</t>
        </is>
      </c>
      <c r="D12" s="7" t="n">
        <v>1</v>
      </c>
      <c r="E12" s="7" t="n">
        <v>0.75</v>
      </c>
      <c r="F12" s="7" t="n">
        <v>-0.25</v>
      </c>
    </row>
    <row r="13">
      <c r="A13" t="inlineStr">
        <is>
          <t>SDG 12</t>
        </is>
      </c>
      <c r="B13" t="inlineStr">
        <is>
          <t>Consumption</t>
        </is>
      </c>
      <c r="C13" t="inlineStr">
        <is>
          <t>SPI.D3.12.CNSP</t>
        </is>
      </c>
      <c r="D13" s="7" t="n">
        <v>1</v>
      </c>
      <c r="E13" s="7" t="n">
        <v>0.8</v>
      </c>
      <c r="F13" s="7" t="n">
        <v>-0.2</v>
      </c>
    </row>
    <row r="14">
      <c r="A14" t="inlineStr">
        <is>
          <t>SDG 13</t>
        </is>
      </c>
      <c r="B14" t="inlineStr">
        <is>
          <t>Climate</t>
        </is>
      </c>
      <c r="C14" t="inlineStr">
        <is>
          <t>SPI.D3.13.CLMT</t>
        </is>
      </c>
      <c r="D14" s="7" t="n">
        <v>0.5</v>
      </c>
      <c r="E14" s="7" t="n">
        <v>0.5</v>
      </c>
      <c r="F14" s="7" t="n">
        <v>0</v>
      </c>
    </row>
    <row r="15">
      <c r="A15" t="inlineStr">
        <is>
          <t>SDG 15</t>
        </is>
      </c>
      <c r="B15" t="inlineStr">
        <is>
          <t>Land</t>
        </is>
      </c>
      <c r="C15" t="inlineStr">
        <is>
          <t>SPI.D3.15.LAND</t>
        </is>
      </c>
      <c r="D15" s="7" t="n">
        <v>0.833</v>
      </c>
      <c r="E15" s="7" t="n">
        <v>0.917</v>
      </c>
      <c r="F15" s="7" t="n">
        <v>0.08400000000000001</v>
      </c>
    </row>
    <row r="16">
      <c r="A16" t="inlineStr">
        <is>
          <t>SDG 16</t>
        </is>
      </c>
      <c r="B16" t="inlineStr">
        <is>
          <t>Institutions</t>
        </is>
      </c>
      <c r="C16" t="inlineStr">
        <is>
          <t>SPI.D3.16.INST</t>
        </is>
      </c>
      <c r="D16" s="7" t="n">
        <v>0.857</v>
      </c>
      <c r="E16" s="7" t="n">
        <v>0.714</v>
      </c>
      <c r="F16" s="7" t="n">
        <v>-0.143</v>
      </c>
    </row>
    <row r="17">
      <c r="A17" t="inlineStr">
        <is>
          <t>SDG 17</t>
        </is>
      </c>
      <c r="B17" t="inlineStr">
        <is>
          <t>Partnerships</t>
        </is>
      </c>
      <c r="C17" t="inlineStr">
        <is>
          <t>SPI.D3.17.PTRN</t>
        </is>
      </c>
      <c r="D17" s="7" t="n">
        <v>0.9330000000000001</v>
      </c>
      <c r="E17" s="7" t="n">
        <v>0.9330000000000001</v>
      </c>
      <c r="F17" s="7" t="n">
        <v>0</v>
      </c>
    </row>
  </sheetData>
  <conditionalFormatting sqref="F2:F17">
    <cfRule type="expression" priority="1" dxfId="2">
      <formula>F2&lt;0</formula>
    </cfRule>
    <cfRule type="expression" priority="2" dxfId="1">
      <formula>F2&gt;0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25"/>
  <cols>
    <col width="28" customWidth="1" min="1" max="2"/>
    <col width="14" customWidth="1" min="3" max="5"/>
  </cols>
  <sheetData>
    <row r="1" ht="15" customHeight="1">
      <c r="A1" s="1" t="inlineStr">
        <is>
          <t>Component</t>
        </is>
      </c>
      <c r="B1" s="1" t="inlineStr">
        <is>
          <t>WB_variable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Change</t>
        </is>
      </c>
    </row>
    <row r="2">
      <c r="A2" t="inlineStr">
        <is>
          <t>Censuses</t>
        </is>
      </c>
      <c r="B2" t="inlineStr">
        <is>
          <t>SPI.DIM4.1.CEN.INDEX</t>
        </is>
      </c>
      <c r="C2" s="7" t="n">
        <v>0.333333</v>
      </c>
      <c r="D2" s="7" t="n">
        <v>0.333333</v>
      </c>
      <c r="E2" s="7" t="n">
        <v>0</v>
      </c>
    </row>
    <row r="3">
      <c r="A3" t="inlineStr">
        <is>
          <t>Surveys</t>
        </is>
      </c>
      <c r="B3" t="inlineStr">
        <is>
          <t>SPI.DIM4.1.SVY.INDEX</t>
        </is>
      </c>
      <c r="C3" s="7" t="n">
        <v>0.8</v>
      </c>
      <c r="D3" s="7" t="n">
        <v>0.8</v>
      </c>
      <c r="E3" s="7" t="n">
        <v>0</v>
      </c>
    </row>
    <row r="4">
      <c r="A4" t="inlineStr">
        <is>
          <t>Administrative data</t>
        </is>
      </c>
      <c r="B4" t="inlineStr">
        <is>
          <t>SPI.DIM4.2.INDEX</t>
        </is>
      </c>
      <c r="C4" s="7" t="n">
        <v>1</v>
      </c>
      <c r="D4" s="7" t="n">
        <v>1</v>
      </c>
      <c r="E4" s="7" t="n">
        <v>0</v>
      </c>
    </row>
    <row r="5">
      <c r="A5" t="inlineStr">
        <is>
          <t>Geospatial data</t>
        </is>
      </c>
      <c r="B5" t="inlineStr">
        <is>
          <t>SPI.DIM4.3.INDEX</t>
        </is>
      </c>
      <c r="C5" s="7" t="n">
        <v>0.398</v>
      </c>
      <c r="D5" s="7" t="n">
        <v>0.595</v>
      </c>
      <c r="E5" s="7" t="n">
        <v>0.197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width="38" customWidth="1" min="1" max="1"/>
    <col width="28" customWidth="1" min="2" max="2"/>
    <col width="14" customWidth="1" min="3" max="5"/>
  </cols>
  <sheetData>
    <row r="1" ht="15" customHeight="1">
      <c r="A1" s="1" t="inlineStr">
        <is>
          <t>Indicator</t>
        </is>
      </c>
      <c r="B1" s="1" t="inlineStr">
        <is>
          <t>WB_variable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Change</t>
        </is>
      </c>
    </row>
    <row r="2">
      <c r="A2" t="inlineStr">
        <is>
          <t>System of National Accounts standard (SNA)</t>
        </is>
      </c>
      <c r="B2" t="inlineStr">
        <is>
          <t>SPI.D5.2.1.SNAU</t>
        </is>
      </c>
      <c r="C2" s="5" t="n">
        <v>1</v>
      </c>
      <c r="D2" s="5" t="n">
        <v>1</v>
      </c>
      <c r="E2" s="5" t="n">
        <v>0</v>
      </c>
    </row>
    <row r="3">
      <c r="A3" t="inlineStr">
        <is>
          <t>National accounts base year</t>
        </is>
      </c>
      <c r="B3" t="inlineStr">
        <is>
          <t>SPI.D5.2.2.NABY</t>
        </is>
      </c>
      <c r="C3" s="5" t="n">
        <v>1</v>
      </c>
      <c r="D3" s="5" t="n">
        <v>1</v>
      </c>
      <c r="E3" s="5" t="n">
        <v>0</v>
      </c>
    </row>
    <row r="4">
      <c r="A4" t="inlineStr">
        <is>
          <t>National industrial classification (ISIC)</t>
        </is>
      </c>
      <c r="B4" t="inlineStr">
        <is>
          <t>SPI.D5.2.3.CNIN</t>
        </is>
      </c>
      <c r="C4" s="5" t="n">
        <v>1</v>
      </c>
      <c r="D4" s="5" t="n">
        <v>1</v>
      </c>
      <c r="E4" s="5" t="n">
        <v>0</v>
      </c>
    </row>
    <row r="5">
      <c r="A5" t="inlineStr">
        <is>
          <t>CPI base year</t>
        </is>
      </c>
      <c r="B5" t="inlineStr">
        <is>
          <t>SPI.D5.2.4.CPIBY</t>
        </is>
      </c>
      <c r="C5" s="5" t="n">
        <v>1</v>
      </c>
      <c r="D5" s="5" t="n">
        <v>0.5</v>
      </c>
      <c r="E5" s="5" t="n">
        <v>-0.5</v>
      </c>
    </row>
    <row r="6">
      <c r="A6" t="inlineStr">
        <is>
          <t>COICOP</t>
        </is>
      </c>
      <c r="B6" t="inlineStr">
        <is>
          <t>SPI.D5.2.5.HOUS</t>
        </is>
      </c>
      <c r="C6" s="5" t="n">
        <v>1</v>
      </c>
      <c r="D6" s="5" t="n">
        <v>1</v>
      </c>
      <c r="E6" s="5" t="n">
        <v>0</v>
      </c>
    </row>
    <row r="7">
      <c r="A7" t="inlineStr">
        <is>
          <t>ICSE</t>
        </is>
      </c>
      <c r="B7" t="inlineStr">
        <is>
          <t>SPI.D5.2.6.EMPL</t>
        </is>
      </c>
      <c r="C7" s="5" t="n">
        <v>1</v>
      </c>
      <c r="D7" s="5" t="n">
        <v>1</v>
      </c>
      <c r="E7" s="5" t="n">
        <v>0</v>
      </c>
    </row>
    <row r="8">
      <c r="A8" t="inlineStr">
        <is>
          <t>Central government accounting</t>
        </is>
      </c>
      <c r="B8" t="inlineStr">
        <is>
          <t>SPI.D5.2.7.CGOV</t>
        </is>
      </c>
      <c r="C8" s="5" t="n">
        <v>0.5</v>
      </c>
      <c r="D8" s="5" t="n">
        <v>0.5</v>
      </c>
      <c r="E8" s="5" t="n">
        <v>0</v>
      </c>
    </row>
    <row r="9">
      <c r="A9" t="inlineStr">
        <is>
          <t>GFSM 2014</t>
        </is>
      </c>
      <c r="B9" t="inlineStr">
        <is>
          <t>SPI.D5.2.8.FINA</t>
        </is>
      </c>
      <c r="C9" s="5" t="n">
        <v>1</v>
      </c>
      <c r="D9" s="5" t="n">
        <v>1</v>
      </c>
      <c r="E9" s="5" t="n">
        <v>0</v>
      </c>
    </row>
    <row r="10">
      <c r="A10" t="inlineStr">
        <is>
          <t>MFSM 2000</t>
        </is>
      </c>
      <c r="B10" t="inlineStr">
        <is>
          <t>SPI.D5.2.9.MONY</t>
        </is>
      </c>
      <c r="C10" s="5" t="n">
        <v>1</v>
      </c>
      <c r="D10" s="5" t="n">
        <v>1</v>
      </c>
      <c r="E10" s="5" t="n">
        <v>0</v>
      </c>
    </row>
    <row r="11">
      <c r="A11" t="inlineStr">
        <is>
          <t>GSBPM</t>
        </is>
      </c>
      <c r="B11" t="inlineStr">
        <is>
          <t>SPI.D5.2.10.GSBP</t>
        </is>
      </c>
      <c r="C11" s="5" t="n">
        <v>1</v>
      </c>
      <c r="D11" s="5" t="n">
        <v>1</v>
      </c>
      <c r="E11" s="5" t="n">
        <v>0</v>
      </c>
    </row>
  </sheetData>
  <conditionalFormatting sqref="E2:E11">
    <cfRule type="expression" priority="1" dxfId="0">
      <formula>E2&lt;0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4.25"/>
  <cols>
    <col width="20" customWidth="1" min="1" max="1"/>
    <col width="9" customWidth="1" min="2" max="2"/>
    <col width="12" customWidth="1" min="3" max="10"/>
  </cols>
  <sheetData>
    <row r="1" ht="15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SPI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Rank</t>
        </is>
      </c>
      <c r="J1" s="1" t="inlineStr">
        <is>
          <t>23→24</t>
        </is>
      </c>
    </row>
    <row r="2">
      <c r="A2" t="inlineStr">
        <is>
          <t>Norway</t>
        </is>
      </c>
      <c r="B2" t="inlineStr">
        <is>
          <t>NOR</t>
        </is>
      </c>
      <c r="C2" s="5" t="n">
        <v>94.14</v>
      </c>
      <c r="D2" s="5" t="n">
        <v>100</v>
      </c>
      <c r="E2" s="5" t="n">
        <v>98.59999999999999</v>
      </c>
      <c r="F2" s="5" t="n">
        <v>84</v>
      </c>
      <c r="G2" s="5" t="n">
        <v>88.09999999999999</v>
      </c>
      <c r="H2" s="5" t="n">
        <v>100</v>
      </c>
      <c r="I2" t="n">
        <v>1</v>
      </c>
      <c r="J2" s="5" t="n">
        <v>-0.4</v>
      </c>
    </row>
    <row r="3">
      <c r="A3" t="inlineStr">
        <is>
          <t>Korea, Rep.</t>
        </is>
      </c>
      <c r="B3" t="inlineStr">
        <is>
          <t>KOR</t>
        </is>
      </c>
      <c r="C3" s="5" t="n">
        <v>91.56999999999999</v>
      </c>
      <c r="D3" s="5" t="n">
        <v>100</v>
      </c>
      <c r="E3" s="5" t="n">
        <v>96.09999999999999</v>
      </c>
      <c r="F3" s="5" t="n">
        <v>87.7</v>
      </c>
      <c r="G3" s="5" t="n">
        <v>79</v>
      </c>
      <c r="H3" s="5" t="n">
        <v>95</v>
      </c>
      <c r="I3" t="n">
        <v>7</v>
      </c>
      <c r="J3" s="5" t="n">
        <v>0.1</v>
      </c>
    </row>
    <row r="4">
      <c r="A4" t="inlineStr">
        <is>
          <t>Finland</t>
        </is>
      </c>
      <c r="B4" t="inlineStr">
        <is>
          <t>FIN</t>
        </is>
      </c>
      <c r="C4" s="5" t="n">
        <v>90.37</v>
      </c>
      <c r="D4" s="5" t="n">
        <v>100</v>
      </c>
      <c r="E4" s="5" t="n">
        <v>98.2</v>
      </c>
      <c r="F4" s="5" t="n">
        <v>81.59999999999999</v>
      </c>
      <c r="G4" s="5" t="n">
        <v>87.09999999999999</v>
      </c>
      <c r="H4" s="5" t="n">
        <v>85</v>
      </c>
      <c r="I4" t="n">
        <v>16</v>
      </c>
      <c r="J4" s="5" t="n">
        <v>-4.7</v>
      </c>
    </row>
    <row r="5">
      <c r="A5" t="inlineStr">
        <is>
          <t>Georgia</t>
        </is>
      </c>
      <c r="B5" t="inlineStr">
        <is>
          <t>GEO</t>
        </is>
      </c>
      <c r="C5" s="5" t="n">
        <v>87.72</v>
      </c>
      <c r="D5" s="5" t="n">
        <v>100</v>
      </c>
      <c r="E5" s="5" t="n">
        <v>93.8</v>
      </c>
      <c r="F5" s="5" t="n">
        <v>83.7</v>
      </c>
      <c r="G5" s="5" t="n">
        <v>81.09999999999999</v>
      </c>
      <c r="H5" s="5" t="n">
        <v>80</v>
      </c>
      <c r="I5" t="n">
        <v>32</v>
      </c>
      <c r="J5" s="5" t="n">
        <v>-1.6</v>
      </c>
    </row>
    <row r="6">
      <c r="A6" t="inlineStr">
        <is>
          <t>Moldova</t>
        </is>
      </c>
      <c r="B6" t="inlineStr">
        <is>
          <t>MDA</t>
        </is>
      </c>
      <c r="C6" s="5" t="n">
        <v>85.67</v>
      </c>
      <c r="D6" s="5" t="n">
        <v>100</v>
      </c>
      <c r="E6" s="5" t="n">
        <v>96</v>
      </c>
      <c r="F6" s="5" t="n">
        <v>79.5</v>
      </c>
      <c r="G6" s="5" t="n">
        <v>67.90000000000001</v>
      </c>
      <c r="H6" s="5" t="n">
        <v>85</v>
      </c>
      <c r="I6" t="n">
        <v>38</v>
      </c>
      <c r="J6" s="5" t="n">
        <v>-0.4</v>
      </c>
    </row>
    <row r="7">
      <c r="A7" t="inlineStr">
        <is>
          <t>Kazakhstan</t>
        </is>
      </c>
      <c r="B7" t="inlineStr">
        <is>
          <t>KAZ</t>
        </is>
      </c>
      <c r="C7" s="5" t="n">
        <v>84.89</v>
      </c>
      <c r="D7" s="5" t="n">
        <v>100</v>
      </c>
      <c r="E7" s="5" t="n">
        <v>90.09999999999999</v>
      </c>
      <c r="F7" s="5" t="n">
        <v>79.2</v>
      </c>
      <c r="G7" s="5" t="n">
        <v>80.2</v>
      </c>
      <c r="H7" s="5" t="n">
        <v>75</v>
      </c>
      <c r="I7" t="n">
        <v>44</v>
      </c>
      <c r="J7" s="5" t="n">
        <v>2.1</v>
      </c>
    </row>
    <row r="8">
      <c r="A8" t="inlineStr">
        <is>
          <t>Armenia</t>
        </is>
      </c>
      <c r="B8" t="inlineStr">
        <is>
          <t>ARM</t>
        </is>
      </c>
      <c r="C8" s="5" t="n">
        <v>82.18000000000001</v>
      </c>
      <c r="D8" s="5" t="n">
        <v>90</v>
      </c>
      <c r="E8" s="5" t="n">
        <v>86.2</v>
      </c>
      <c r="F8" s="5" t="n">
        <v>82.8</v>
      </c>
      <c r="G8" s="5" t="n">
        <v>71.90000000000001</v>
      </c>
      <c r="H8" s="5" t="n">
        <v>80</v>
      </c>
      <c r="I8" t="n">
        <v>55</v>
      </c>
      <c r="J8" s="5" t="n">
        <v>-1.2</v>
      </c>
    </row>
    <row r="9" ht="15" customHeight="1">
      <c r="A9" s="8" t="inlineStr">
        <is>
          <t>Uzbekistan</t>
        </is>
      </c>
      <c r="B9" s="8" t="inlineStr">
        <is>
          <t>UZB</t>
        </is>
      </c>
      <c r="C9" s="9" t="n">
        <v>81.48999999999999</v>
      </c>
      <c r="D9" s="9" t="n">
        <v>90</v>
      </c>
      <c r="E9" s="9" t="n">
        <v>79.09999999999999</v>
      </c>
      <c r="F9" s="9" t="n">
        <v>80.09999999999999</v>
      </c>
      <c r="G9" s="9" t="n">
        <v>68.2</v>
      </c>
      <c r="H9" s="9" t="n">
        <v>90</v>
      </c>
      <c r="I9" s="8" t="n">
        <v>58</v>
      </c>
      <c r="J9" s="9" t="n">
        <v>-0.5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25"/>
  <cols>
    <col width="24" customWidth="1" min="1" max="1"/>
    <col width="58" customWidth="1" min="2" max="2"/>
    <col width="16" customWidth="1" min="3" max="3"/>
  </cols>
  <sheetData>
    <row r="1" ht="15" customHeight="1">
      <c r="A1" s="1" t="inlineStr">
        <is>
          <t>Scenario</t>
        </is>
      </c>
      <c r="B1" s="1" t="inlineStr">
        <is>
          <t>Condition</t>
        </is>
      </c>
      <c r="C1" s="1" t="inlineStr">
        <is>
          <t>Overall SPI</t>
        </is>
      </c>
    </row>
    <row r="2">
      <c r="A2" t="inlineStr">
        <is>
          <t>Baseline</t>
        </is>
      </c>
      <c r="B2" t="inlineStr">
        <is>
          <t>Actual 2024 value</t>
        </is>
      </c>
      <c r="C2" s="5" t="n">
        <v>81.49083330000001</v>
      </c>
    </row>
    <row r="3">
      <c r="A3" t="inlineStr">
        <is>
          <t>Conservative scenario</t>
        </is>
      </c>
      <c r="B3" t="inlineStr">
        <is>
          <t>CPI + LFS + census Scenario B</t>
        </is>
      </c>
      <c r="C3" s="5" t="n">
        <v>84.4875</v>
      </c>
    </row>
    <row r="4">
      <c r="A4" t="inlineStr">
        <is>
          <t>Main scenario</t>
        </is>
      </c>
      <c r="B4" t="inlineStr">
        <is>
          <t>Above + SDDS</t>
        </is>
      </c>
      <c r="C4" s="5" t="n">
        <v>87.8208333</v>
      </c>
    </row>
    <row r="5">
      <c r="A5" t="inlineStr">
        <is>
          <t>Extended scenario</t>
        </is>
      </c>
      <c r="B5" t="inlineStr">
        <is>
          <t>Above + geospatial indicator reaching 1.0</t>
        </is>
      </c>
      <c r="C5" s="5" t="n">
        <v>89.8458333</v>
      </c>
    </row>
    <row r="7" ht="15" customHeight="1">
      <c r="A7" s="11" t="inlineStr">
        <is>
          <t>Note</t>
        </is>
      </c>
    </row>
    <row r="8" ht="28.5" customHeight="1">
      <c r="A8" s="2" t="inlineStr">
        <is>
          <t>Computation</t>
        </is>
      </c>
      <c r="B8" s="2" t="inlineStr">
        <is>
          <t>Final values are computed using unrounded intermediate effect values.</t>
        </is>
      </c>
      <c r="C8" s="2" t="n"/>
    </row>
    <row r="9" ht="28.5" customHeight="1">
      <c r="A9" s="2" t="inlineStr">
        <is>
          <t>Interpretation</t>
        </is>
      </c>
      <c r="B9" s="2" t="inlineStr">
        <is>
          <t>This is not an official forecast; it is a conditional scenario based on the SPI aggregation formula.</t>
        </is>
      </c>
      <c r="C9" s="2" t="n"/>
    </row>
  </sheetData>
  <mergeCells count="1">
    <mergeCell ref="A7:C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A1" sqref="A1:H2"/>
    </sheetView>
  </sheetViews>
  <sheetFormatPr baseColWidth="8" defaultRowHeight="14.25"/>
  <cols>
    <col width="24" customWidth="1" min="1" max="1"/>
    <col width="34" customWidth="1" min="2" max="2"/>
    <col width="22" customWidth="1" min="4" max="4"/>
    <col width="16" customWidth="1" min="5" max="5"/>
  </cols>
  <sheetData>
    <row r="1">
      <c r="A1" s="10" t="inlineStr">
        <is>
          <t>Uzbekistan SPI v4.0 — audit dashboard</t>
        </is>
      </c>
    </row>
    <row r="2"/>
    <row r="4" ht="15" customHeight="1">
      <c r="A4" s="1" t="inlineStr">
        <is>
          <t>Indicator</t>
        </is>
      </c>
      <c r="B4" s="1" t="inlineStr">
        <is>
          <t>Value</t>
        </is>
      </c>
      <c r="D4" s="1" t="inlineStr">
        <is>
          <t>Indicator</t>
        </is>
      </c>
      <c r="E4" s="1" t="inlineStr">
        <is>
          <t>Value</t>
        </is>
      </c>
    </row>
    <row r="5">
      <c r="A5" t="inlineStr">
        <is>
          <t>SPI 2023</t>
        </is>
      </c>
      <c r="B5" s="5">
        <f>Pillar_2023_2024!B7</f>
        <v/>
      </c>
      <c r="D5" t="inlineStr">
        <is>
          <t>2024 global rank</t>
        </is>
      </c>
      <c r="E5" t="n">
        <v>58</v>
      </c>
    </row>
    <row r="6">
      <c r="A6" t="inlineStr">
        <is>
          <t>SPI 2024</t>
        </is>
      </c>
      <c r="B6" s="5">
        <f>Pillar_2023_2024!C7</f>
        <v/>
      </c>
      <c r="D6" t="inlineStr">
        <is>
          <t>P3 change</t>
        </is>
      </c>
      <c r="E6" s="5">
        <f>Pillar_2023_2024!D4</f>
        <v/>
      </c>
    </row>
    <row r="7">
      <c r="A7" t="inlineStr">
        <is>
          <t>Change</t>
        </is>
      </c>
      <c r="B7" s="5">
        <f>Pillar_2023_2024!D7</f>
        <v/>
      </c>
      <c r="D7" t="inlineStr">
        <is>
          <t>P4 change</t>
        </is>
      </c>
      <c r="E7" s="5">
        <f>Pillar_2023_2024!D5</f>
        <v/>
      </c>
    </row>
    <row r="8">
      <c r="D8" t="inlineStr">
        <is>
          <t>P5 change</t>
        </is>
      </c>
      <c r="E8" s="5">
        <f>Pillar_2023_2024!D6</f>
        <v/>
      </c>
    </row>
    <row r="10" ht="15" customHeight="1">
      <c r="A10" s="11" t="inlineStr">
        <is>
          <t>Conditional scenarios</t>
        </is>
      </c>
    </row>
    <row r="11" ht="15" customHeight="1">
      <c r="A11" s="1" t="inlineStr">
        <is>
          <t>Scenario</t>
        </is>
      </c>
      <c r="B11" s="1" t="inlineStr">
        <is>
          <t>Condition</t>
        </is>
      </c>
      <c r="C11" s="1" t="inlineStr">
        <is>
          <t>SPI</t>
        </is>
      </c>
    </row>
    <row r="12">
      <c r="A12" t="inlineStr">
        <is>
          <t>Baseline</t>
        </is>
      </c>
      <c r="B12" t="inlineStr">
        <is>
          <t>Actual 2024 value</t>
        </is>
      </c>
      <c r="C12" s="5" t="n">
        <v>81.49083330000001</v>
      </c>
    </row>
    <row r="13">
      <c r="A13" t="inlineStr">
        <is>
          <t>Conservative scenario</t>
        </is>
      </c>
      <c r="B13" t="inlineStr">
        <is>
          <t>CPI + LFS + census Scenario B</t>
        </is>
      </c>
      <c r="C13" s="5" t="n">
        <v>84.4875</v>
      </c>
    </row>
    <row r="14">
      <c r="A14" t="inlineStr">
        <is>
          <t>Main scenario</t>
        </is>
      </c>
      <c r="B14" t="inlineStr">
        <is>
          <t>Above + SDDS</t>
        </is>
      </c>
      <c r="C14" s="5" t="n">
        <v>87.8208333</v>
      </c>
    </row>
    <row r="15">
      <c r="A15" t="inlineStr">
        <is>
          <t>Extended scenario</t>
        </is>
      </c>
      <c r="B15" t="inlineStr">
        <is>
          <t>Above + geospatial indicator reaching 1.0</t>
        </is>
      </c>
      <c r="C15" s="5" t="n">
        <v>89.8458333</v>
      </c>
    </row>
    <row r="17" ht="15" customHeight="1">
      <c r="A17" s="11" t="inlineStr">
        <is>
          <t>Audit source</t>
        </is>
      </c>
    </row>
    <row r="18">
      <c r="A18" s="2" t="inlineStr">
        <is>
          <t>Release</t>
        </is>
      </c>
      <c r="B18" s="2" t="inlineStr">
        <is>
          <t>v4.0 — 202511 SPI Update</t>
        </is>
      </c>
    </row>
    <row r="19" ht="28.5" customHeight="1">
      <c r="A19" s="2" t="inlineStr">
        <is>
          <t>Commit</t>
        </is>
      </c>
      <c r="B19" s="2" t="inlineStr">
        <is>
          <t>2dd02f746cb4e2159281adc74d6865f948e90ce1</t>
        </is>
      </c>
    </row>
    <row r="20" ht="57" customHeight="1">
      <c r="A20" s="2" t="inlineStr">
        <is>
          <t>URL</t>
        </is>
      </c>
      <c r="B20" s="2" t="inlineStr">
        <is>
          <t>https://raw.githubusercontent.com/worldbank/SPI/2dd02f746cb4e2159281adc74d6865f948e90ce1/03_output_data/SPI_index.csv</t>
        </is>
      </c>
    </row>
  </sheetData>
  <mergeCells count="3">
    <mergeCell ref="A1:H2"/>
    <mergeCell ref="A10:H10"/>
    <mergeCell ref="A17:H1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 Familya</dc:creator>
  <dcterms:created xmlns:dcterms="http://purl.org/dc/terms/" xmlns:xsi="http://www.w3.org/2001/XMLSchema-instance" xsi:type="dcterms:W3CDTF">2026-09-14T05:39:49Z</dcterms:created>
  <dcterms:modified xmlns:dcterms="http://purl.org/dc/terms/" xmlns:xsi="http://www.w3.org/2001/XMLSchema-instance" xsi:type="dcterms:W3CDTF">2026-09-14T06:28:33Z</dcterms:modified>
  <cp:lastModifiedBy>Ism Familya</cp:lastModifiedBy>
</cp:coreProperties>
</file>